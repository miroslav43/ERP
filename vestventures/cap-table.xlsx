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 table" sheetId="1" state="visible" r:id="rId2"/>
    <sheet name="CLA alternative" sheetId="2" state="visible" r:id="rId3"/>
    <sheet name="Not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<sst xmlns="http://schemas.openxmlformats.org/spreadsheetml/2006/main" count="90" uniqueCount="89">
  <si>
    <t xml:space="preserve">ADMINISTRATIVO - pro-forma cap table (fully diluted, notional units)</t>
  </si>
  <si>
    <t xml:space="preserve">Today = founders' statement (SRL, 51/49, no investors, no options). Pre-seed = this round. Seed = ILLUSTRATIVE only (not a plan, not a commitment). Units are notional (10,000 = 100% today); the SRL's real social parts are [TO CONFIRM].</t>
  </si>
  <si>
    <t xml:space="preserve">Input</t>
  </si>
  <si>
    <t xml:space="preserve">Value</t>
  </si>
  <si>
    <t xml:space="preserve">Note</t>
  </si>
  <si>
    <t xml:space="preserve">Founders' units today (notional)</t>
  </si>
  <si>
    <t xml:space="preserve">notional</t>
  </si>
  <si>
    <t xml:space="preserve">Miroslav Maletici share today</t>
  </si>
  <si>
    <t xml:space="preserve">founders' statement</t>
  </si>
  <si>
    <t xml:space="preserve">Răzvan Pervulescu share today</t>
  </si>
  <si>
    <t xml:space="preserve">Pre-seed: Vest Ventures accelerator ticket (EUR)</t>
  </si>
  <si>
    <t xml:space="preserve">Vest Ventures Accelerator: EUR 10k-200k (vestventures.vc)</t>
  </si>
  <si>
    <t xml:space="preserve">Pre-seed: independent angels (EUR)</t>
  </si>
  <si>
    <t xml:space="preserve">&gt;= 10% private co-investment rule</t>
  </si>
  <si>
    <t xml:space="preserve">Pre-seed: pre-money valuation, fully diluted (EUR)</t>
  </si>
  <si>
    <t xml:space="preserve">same as financial-model.xlsx</t>
  </si>
  <si>
    <t xml:space="preserve">Pre-seed: ESOP pool, % post-money, created pre-money</t>
  </si>
  <si>
    <t xml:space="preserve">dilutes founders only</t>
  </si>
  <si>
    <t xml:space="preserve">Seed (ILLUSTRATIVE): amount (EUR)</t>
  </si>
  <si>
    <t xml:space="preserve">VV Seed range EUR 200k-1M; RO avg seed 2025 EUR 1.5M (How to Web &amp; Underline Ventures)</t>
  </si>
  <si>
    <t xml:space="preserve">Seed (ILLUSTRATIVE): pre-money valuation (EUR)</t>
  </si>
  <si>
    <t xml:space="preserve">ILLUSTRATIVE assumption, needs traction</t>
  </si>
  <si>
    <t xml:space="preserve">Seed (ILLUSTRATIVE): ESOP top-up, % post-seed</t>
  </si>
  <si>
    <t xml:space="preserve">0 = no top-up</t>
  </si>
  <si>
    <t xml:space="preserve">Derived</t>
  </si>
  <si>
    <t xml:space="preserve">Pre-seed round (EUR)</t>
  </si>
  <si>
    <t xml:space="preserve">Pre-seed post-money (EUR)</t>
  </si>
  <si>
    <t xml:space="preserve">Pre-seed investors' % post</t>
  </si>
  <si>
    <t xml:space="preserve">Pre-seed FD units post</t>
  </si>
  <si>
    <t xml:space="preserve">Pre-seed price per unit (EUR)</t>
  </si>
  <si>
    <t xml:space="preserve">Seed post-money (EUR)</t>
  </si>
  <si>
    <t xml:space="preserve">Seed investors' % post</t>
  </si>
  <si>
    <t xml:space="preserve">Seed FD units post</t>
  </si>
  <si>
    <t xml:space="preserve">Seed price per unit (EUR)</t>
  </si>
  <si>
    <t xml:space="preserve">Holder</t>
  </si>
  <si>
    <t xml:space="preserve">Today units</t>
  </si>
  <si>
    <t xml:space="preserve">Today %</t>
  </si>
  <si>
    <t xml:space="preserve">Pre-seed units</t>
  </si>
  <si>
    <t xml:space="preserve">Pre-seed %</t>
  </si>
  <si>
    <t xml:space="preserve">Seed units</t>
  </si>
  <si>
    <t xml:space="preserve">Seed %</t>
  </si>
  <si>
    <t xml:space="preserve">Invested (EUR)</t>
  </si>
  <si>
    <t xml:space="preserve">Miroslav Maletici (co-founder)</t>
  </si>
  <si>
    <t xml:space="preserve">Răzvan Pervulescu (co-founder)</t>
  </si>
  <si>
    <t xml:space="preserve">ESOP pool</t>
  </si>
  <si>
    <t xml:space="preserve">Vest Ventures</t>
  </si>
  <si>
    <t xml:space="preserve">Independent angels</t>
  </si>
  <si>
    <t xml:space="preserve">Seed investors (ILLUSTRATIVE)</t>
  </si>
  <si>
    <t xml:space="preserve">Total</t>
  </si>
  <si>
    <t xml:space="preserve">Founders combined</t>
  </si>
  <si>
    <t xml:space="preserve">Check: units x price = post-money (pre-seed, seed)</t>
  </si>
  <si>
    <t xml:space="preserve">Alternative: convertible loan agreement (CLA) instead of priced equity</t>
  </si>
  <si>
    <t xml:space="preserve">Vest Ventures contracts: term sheet, then a CLA or an SHA on the fund's templates (vestventures.vc/en/programs-terms). Interest, discount and cap below are ILLUSTRATIVE inputs, not VV terms [TO CONFIRM].</t>
  </si>
  <si>
    <t xml:space="preserve">CLA principal (EUR)</t>
  </si>
  <si>
    <t xml:space="preserve">same money as the pre-seed round</t>
  </si>
  <si>
    <t xml:space="preserve">Valuation cap, pre-money FD (EUR)</t>
  </si>
  <si>
    <t xml:space="preserve">cap = pre-money of the priced alternative</t>
  </si>
  <si>
    <t xml:space="preserve">Discount to the next priced round</t>
  </si>
  <si>
    <t xml:space="preserve">ILLUSTRATIVE</t>
  </si>
  <si>
    <t xml:space="preserve">Annual interest (simple)</t>
  </si>
  <si>
    <t xml:space="preserve">ILLUSTRATIVE; VV template terms [TO CONFIRM]</t>
  </si>
  <si>
    <t xml:space="preserve">Years until conversion</t>
  </si>
  <si>
    <t xml:space="preserve">ILLUSTRATIVE (seed ~24 months after close: 100-customer trigger + raise)</t>
  </si>
  <si>
    <t xml:space="preserve">Amount converting (EUR)</t>
  </si>
  <si>
    <t xml:space="preserve">Pre-conversion units (founders + ESOP pool, notional)</t>
  </si>
  <si>
    <t xml:space="preserve">same pool units as the priced round (10% of post-money), so the two paths are comparable</t>
  </si>
  <si>
    <t xml:space="preserve">Cap price per unit (EUR)</t>
  </si>
  <si>
    <t xml:space="preserve">cap / pre-conversion units</t>
  </si>
  <si>
    <t xml:space="preserve">Seed price per unit if no CLA (seed pre-money / pre-conversion units)</t>
  </si>
  <si>
    <t xml:space="preserve">ILLUSTRATIVE seed</t>
  </si>
  <si>
    <t xml:space="preserve">Discounted seed price</t>
  </si>
  <si>
    <t xml:space="preserve">Conversion price = MIN(cap price, discounted price)</t>
  </si>
  <si>
    <t xml:space="preserve">CLA units at conversion</t>
  </si>
  <si>
    <t xml:space="preserve">CLA holders' % right after conversion (before seed money)</t>
  </si>
  <si>
    <t xml:space="preserve">Seed amount (EUR)</t>
  </si>
  <si>
    <t xml:space="preserve">Seed new units (at seed price, after conversion)</t>
  </si>
  <si>
    <t xml:space="preserve">pre-money includes converted units (simplification)</t>
  </si>
  <si>
    <t xml:space="preserve">Total units post-seed</t>
  </si>
  <si>
    <t xml:space="preserve">Founders combined after seed - CLA path</t>
  </si>
  <si>
    <t xml:space="preserve">Founders combined after seed - priced pre-seed path</t>
  </si>
  <si>
    <t xml:space="preserve">from sheet 'Cap table'</t>
  </si>
  <si>
    <t xml:space="preserve">CLA holders after seed</t>
  </si>
  <si>
    <t xml:space="preserve">Ownership today: Miroslav Maletici 51%, Răzvan Pervulescu 49% - founders' statement; no investors, no options issued.</t>
  </si>
  <si>
    <t xml:space="preserve">Legal entity named on administrativo.ro as its operator: WISELEARNING S.R.L. (CUI 50321210, J35/2618/2024) - [TO CONFIRM] that this SRL holds the 51/49 cap table.</t>
  </si>
  <si>
    <t xml:space="preserve">Pre-seed modelled as priced equity at EUR 1.25M pre-money, fully diluted including a new 10% ESOP pool created pre-money.</t>
  </si>
  <si>
    <t xml:space="preserve">Vest Ventures may use a CLA (convertible loan) or an SHA; see 'CLA alternative'.</t>
  </si>
  <si>
    <t xml:space="preserve">SRL governance: amendments to the articles need unanimity of associates; an SRL -&gt; SA or holding conversion at the round is [TO CONFIRM] with a lawyer.</t>
  </si>
  <si>
    <t xml:space="preserve">Seed column is ILLUSTRATIVE only: no seed investor, amount or valuation has been discussed.</t>
  </si>
  <si>
    <t xml:space="preserve">Same figures as financial-model.xlsx, sheet 'Cap table'.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</si>
</sst>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\€#,##0;&quot;(€&quot;#,##0\);\-"/>
    <numFmt numFmtId="168" formatCode="\€#,##0.00;&quot;(€&quot;#,##0.00\);\-"/>
    <numFmt numFmtId="169" formatCode="0.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4" t="s">
        <v>2</v>
      </c>
      <c r="B4" s="4" t="s">
        <v>3</v>
      </c>
      <c r="C4" s="2"/>
      <c r="D4" s="2"/>
      <c r="E4" s="2"/>
      <c r="F4" s="2"/>
      <c r="G4" s="2"/>
      <c r="H4" s="2"/>
      <c r="I4" s="2"/>
      <c r="J4" s="4" t="s">
        <v>4</v>
      </c>
    </row>
    <row r="5" customFormat="false" ht="15" hidden="false" customHeight="false" outlineLevel="0" collapsed="false">
      <c r="A5" s="2" t="s">
        <v>5</v>
      </c>
      <c r="B5" s="5" t="n">
        <v>10000</v>
      </c>
      <c r="C5" s="2"/>
      <c r="D5" s="2"/>
      <c r="E5" s="2"/>
      <c r="F5" s="2"/>
      <c r="G5" s="2"/>
      <c r="H5" s="2"/>
      <c r="I5" s="2"/>
      <c r="J5" s="3" t="s">
        <v>6</v>
      </c>
    </row>
    <row r="6" customFormat="false" ht="15" hidden="false" customHeight="false" outlineLevel="0" collapsed="false">
      <c r="A6" s="2" t="s">
        <v>7</v>
      </c>
      <c r="B6" s="6" t="n">
        <v>0.51</v>
      </c>
      <c r="C6" s="2"/>
      <c r="D6" s="2"/>
      <c r="E6" s="2"/>
      <c r="F6" s="2"/>
      <c r="G6" s="2"/>
      <c r="H6" s="2"/>
      <c r="I6" s="2"/>
      <c r="J6" s="3" t="s">
        <v>8</v>
      </c>
    </row>
    <row r="7" customFormat="false" ht="15" hidden="false" customHeight="false" outlineLevel="0" collapsed="false">
      <c r="A7" s="2" t="s">
        <v>9</v>
      </c>
      <c r="B7" s="6" t="n">
        <v>0.49</v>
      </c>
      <c r="C7" s="2"/>
      <c r="D7" s="2"/>
      <c r="E7" s="2"/>
      <c r="F7" s="2"/>
      <c r="G7" s="2"/>
      <c r="H7" s="2"/>
      <c r="I7" s="2"/>
      <c r="J7" s="3" t="s">
        <v>8</v>
      </c>
    </row>
    <row r="8" customFormat="false" ht="15" hidden="false" customHeight="false" outlineLevel="0" collapsed="false">
      <c r="A8" s="2" t="s">
        <v>10</v>
      </c>
      <c r="B8" s="7" t="n">
        <v>135000</v>
      </c>
      <c r="C8" s="2"/>
      <c r="D8" s="2"/>
      <c r="E8" s="2"/>
      <c r="F8" s="2"/>
      <c r="G8" s="2"/>
      <c r="H8" s="2"/>
      <c r="I8" s="2"/>
      <c r="J8" s="3" t="s">
        <v>11</v>
      </c>
    </row>
    <row r="9" customFormat="false" ht="15" hidden="false" customHeight="false" outlineLevel="0" collapsed="false">
      <c r="A9" s="2" t="s">
        <v>12</v>
      </c>
      <c r="B9" s="7" t="n">
        <v>15000</v>
      </c>
      <c r="C9" s="2"/>
      <c r="D9" s="2"/>
      <c r="E9" s="2"/>
      <c r="F9" s="2"/>
      <c r="G9" s="2"/>
      <c r="H9" s="2"/>
      <c r="I9" s="2"/>
      <c r="J9" s="3" t="s">
        <v>13</v>
      </c>
    </row>
    <row r="10" customFormat="false" ht="15" hidden="false" customHeight="false" outlineLevel="0" collapsed="false">
      <c r="A10" s="2" t="s">
        <v>14</v>
      </c>
      <c r="B10" s="7" t="n">
        <v>1250000</v>
      </c>
      <c r="C10" s="2"/>
      <c r="D10" s="2"/>
      <c r="E10" s="2"/>
      <c r="F10" s="2"/>
      <c r="G10" s="2"/>
      <c r="H10" s="2"/>
      <c r="I10" s="2"/>
      <c r="J10" s="3" t="s">
        <v>15</v>
      </c>
    </row>
    <row r="11" customFormat="false" ht="15" hidden="false" customHeight="false" outlineLevel="0" collapsed="false">
      <c r="A11" s="2" t="s">
        <v>16</v>
      </c>
      <c r="B11" s="8" t="n">
        <v>0.1</v>
      </c>
      <c r="C11" s="2"/>
      <c r="D11" s="2"/>
      <c r="E11" s="2"/>
      <c r="F11" s="2"/>
      <c r="G11" s="2"/>
      <c r="H11" s="2"/>
      <c r="I11" s="2"/>
      <c r="J11" s="3" t="s">
        <v>17</v>
      </c>
    </row>
    <row r="12" customFormat="false" ht="15" hidden="false" customHeight="false" outlineLevel="0" collapsed="false">
      <c r="A12" s="2" t="s">
        <v>18</v>
      </c>
      <c r="B12" s="9" t="n">
        <v>1000000</v>
      </c>
      <c r="C12" s="2"/>
      <c r="D12" s="2"/>
      <c r="E12" s="2"/>
      <c r="F12" s="2"/>
      <c r="G12" s="2"/>
      <c r="H12" s="2"/>
      <c r="I12" s="2"/>
      <c r="J12" s="3" t="s">
        <v>19</v>
      </c>
    </row>
    <row r="13" customFormat="false" ht="15" hidden="false" customHeight="false" outlineLevel="0" collapsed="false">
      <c r="A13" s="2" t="s">
        <v>20</v>
      </c>
      <c r="B13" s="9" t="n">
        <v>4000000</v>
      </c>
      <c r="C13" s="2"/>
      <c r="D13" s="2"/>
      <c r="E13" s="2"/>
      <c r="F13" s="2"/>
      <c r="G13" s="2"/>
      <c r="H13" s="2"/>
      <c r="I13" s="2"/>
      <c r="J13" s="3" t="s">
        <v>21</v>
      </c>
    </row>
    <row r="14" customFormat="false" ht="15" hidden="false" customHeight="false" outlineLevel="0" collapsed="false">
      <c r="A14" s="2" t="s">
        <v>22</v>
      </c>
      <c r="B14" s="6" t="n">
        <v>0</v>
      </c>
      <c r="C14" s="2"/>
      <c r="D14" s="2"/>
      <c r="E14" s="2"/>
      <c r="F14" s="2"/>
      <c r="G14" s="2"/>
      <c r="H14" s="2"/>
      <c r="I14" s="2"/>
      <c r="J14" s="3" t="s">
        <v>23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false" outlineLevel="0" collapsed="false">
      <c r="A16" s="10" t="s">
        <v>24</v>
      </c>
      <c r="B16" s="2"/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" t="s">
        <v>25</v>
      </c>
      <c r="B17" s="11" t="n">
        <f aca="false">B8+B9</f>
        <v>150000</v>
      </c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false" outlineLevel="0" collapsed="false">
      <c r="A18" s="2" t="s">
        <v>26</v>
      </c>
      <c r="B18" s="11" t="n">
        <f aca="false">B10+B17</f>
        <v>1400000</v>
      </c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2" t="s">
        <v>27</v>
      </c>
      <c r="B19" s="12" t="n">
        <f aca="false">B17/B18</f>
        <v>0.107142857142857</v>
      </c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 t="s">
        <v>28</v>
      </c>
      <c r="B20" s="13" t="n">
        <f aca="false">B5/(1-B19-B11)</f>
        <v>12612.6126126126</v>
      </c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false" outlineLevel="0" collapsed="false">
      <c r="A21" s="2" t="s">
        <v>29</v>
      </c>
      <c r="B21" s="14" t="n">
        <f aca="false">B10/(B5+B11*B20)</f>
        <v>111</v>
      </c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2" t="s">
        <v>30</v>
      </c>
      <c r="B22" s="11" t="n">
        <f aca="false">B13+B12</f>
        <v>5000000</v>
      </c>
      <c r="C22" s="2"/>
      <c r="D22" s="2"/>
      <c r="E22" s="2"/>
      <c r="F22" s="2"/>
      <c r="G22" s="2"/>
      <c r="H22" s="2"/>
      <c r="I22" s="2"/>
      <c r="J22" s="2"/>
    </row>
    <row r="23" customFormat="false" ht="15" hidden="false" customHeight="false" outlineLevel="0" collapsed="false">
      <c r="A23" s="2" t="s">
        <v>31</v>
      </c>
      <c r="B23" s="12" t="n">
        <f aca="false">B12/B22</f>
        <v>0.2</v>
      </c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 t="s">
        <v>32</v>
      </c>
      <c r="B24" s="13" t="n">
        <f aca="false">B20/(1-B23-B14)</f>
        <v>15765.7657657658</v>
      </c>
      <c r="C24" s="2"/>
      <c r="D24" s="2"/>
      <c r="E24" s="2"/>
      <c r="F24" s="2"/>
      <c r="G24" s="2"/>
      <c r="H24" s="2"/>
      <c r="I24" s="2"/>
      <c r="J24" s="2"/>
    </row>
    <row r="25" customFormat="false" ht="15" hidden="false" customHeight="false" outlineLevel="0" collapsed="false">
      <c r="A25" s="2" t="s">
        <v>33</v>
      </c>
      <c r="B25" s="14" t="n">
        <f aca="false">B13/(B20+B14*B24)</f>
        <v>317.142857142857</v>
      </c>
      <c r="C25" s="2"/>
      <c r="D25" s="2"/>
      <c r="E25" s="2"/>
      <c r="F25" s="2"/>
      <c r="G25" s="2"/>
      <c r="H25" s="2"/>
      <c r="I25" s="2"/>
      <c r="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false" outlineLevel="0" collapsed="false">
      <c r="A28" s="4" t="s">
        <v>34</v>
      </c>
      <c r="B28" s="4" t="s">
        <v>35</v>
      </c>
      <c r="C28" s="4" t="s">
        <v>36</v>
      </c>
      <c r="D28" s="4" t="s">
        <v>37</v>
      </c>
      <c r="E28" s="4" t="s">
        <v>38</v>
      </c>
      <c r="F28" s="4" t="s">
        <v>39</v>
      </c>
      <c r="G28" s="4" t="s">
        <v>40</v>
      </c>
      <c r="H28" s="4" t="s">
        <v>41</v>
      </c>
      <c r="I28" s="2"/>
      <c r="J28" s="2"/>
    </row>
    <row r="29" customFormat="false" ht="15" hidden="false" customHeight="false" outlineLevel="0" collapsed="false">
      <c r="A29" s="2" t="s">
        <v>42</v>
      </c>
      <c r="B29" s="13" t="n">
        <f aca="false">B5*B6</f>
        <v>5100</v>
      </c>
      <c r="C29" s="12" t="n">
        <f aca="false">B29/$B$35</f>
        <v>0.51</v>
      </c>
      <c r="D29" s="13" t="n">
        <f aca="false">B29</f>
        <v>5100</v>
      </c>
      <c r="E29" s="12" t="n">
        <f aca="false">D29/$D$35</f>
        <v>0.404357142857143</v>
      </c>
      <c r="F29" s="13" t="n">
        <f aca="false">D29</f>
        <v>5100</v>
      </c>
      <c r="G29" s="12" t="n">
        <f aca="false">F29/$F$35</f>
        <v>0.323485714285714</v>
      </c>
      <c r="H29" s="11" t="n">
        <v>0</v>
      </c>
      <c r="I29" s="2"/>
      <c r="J29" s="2"/>
    </row>
    <row r="30" customFormat="false" ht="15" hidden="false" customHeight="false" outlineLevel="0" collapsed="false">
      <c r="A30" s="2" t="s">
        <v>43</v>
      </c>
      <c r="B30" s="13" t="n">
        <f aca="false">B5*B7</f>
        <v>4900</v>
      </c>
      <c r="C30" s="12" t="n">
        <f aca="false">B30/$B$35</f>
        <v>0.49</v>
      </c>
      <c r="D30" s="13" t="n">
        <f aca="false">B30</f>
        <v>4900</v>
      </c>
      <c r="E30" s="12" t="n">
        <f aca="false">D30/$D$35</f>
        <v>0.3885</v>
      </c>
      <c r="F30" s="13" t="n">
        <f aca="false">D30</f>
        <v>4900</v>
      </c>
      <c r="G30" s="12" t="n">
        <f aca="false">F30/$F$35</f>
        <v>0.3108</v>
      </c>
      <c r="H30" s="11" t="n">
        <v>0</v>
      </c>
      <c r="I30" s="2"/>
      <c r="J30" s="2"/>
    </row>
    <row r="31" customFormat="false" ht="15" hidden="false" customHeight="false" outlineLevel="0" collapsed="false">
      <c r="A31" s="2" t="s">
        <v>44</v>
      </c>
      <c r="B31" s="13" t="n">
        <v>0</v>
      </c>
      <c r="C31" s="12" t="n">
        <f aca="false">B31/$B$35</f>
        <v>0</v>
      </c>
      <c r="D31" s="13" t="n">
        <f aca="false">B11*B20</f>
        <v>1261.26126126126</v>
      </c>
      <c r="E31" s="12" t="n">
        <f aca="false">D31/$D$35</f>
        <v>0.1</v>
      </c>
      <c r="F31" s="13" t="n">
        <f aca="false">D31+B14*B24</f>
        <v>1261.26126126126</v>
      </c>
      <c r="G31" s="12" t="n">
        <f aca="false">F31/$F$35</f>
        <v>0.08</v>
      </c>
      <c r="H31" s="11" t="n">
        <v>0</v>
      </c>
      <c r="I31" s="2"/>
      <c r="J31" s="2"/>
    </row>
    <row r="32" customFormat="false" ht="15" hidden="false" customHeight="false" outlineLevel="0" collapsed="false">
      <c r="A32" s="2" t="s">
        <v>45</v>
      </c>
      <c r="B32" s="13" t="n">
        <v>0</v>
      </c>
      <c r="C32" s="12" t="n">
        <f aca="false">B32/$B$35</f>
        <v>0</v>
      </c>
      <c r="D32" s="13" t="n">
        <f aca="false">B8/B21</f>
        <v>1216.21621621622</v>
      </c>
      <c r="E32" s="12" t="n">
        <f aca="false">D32/$D$35</f>
        <v>0.0964285714285714</v>
      </c>
      <c r="F32" s="13" t="n">
        <f aca="false">D32</f>
        <v>1216.21621621622</v>
      </c>
      <c r="G32" s="12" t="n">
        <f aca="false">F32/$F$35</f>
        <v>0.0771428571428572</v>
      </c>
      <c r="H32" s="11" t="n">
        <f aca="false">B8</f>
        <v>135000</v>
      </c>
      <c r="I32" s="2"/>
      <c r="J32" s="2"/>
    </row>
    <row r="33" customFormat="false" ht="15" hidden="false" customHeight="false" outlineLevel="0" collapsed="false">
      <c r="A33" s="2" t="s">
        <v>46</v>
      </c>
      <c r="B33" s="13" t="n">
        <v>0</v>
      </c>
      <c r="C33" s="12" t="n">
        <f aca="false">B33/$B$35</f>
        <v>0</v>
      </c>
      <c r="D33" s="13" t="n">
        <f aca="false">B9/B21</f>
        <v>135.135135135135</v>
      </c>
      <c r="E33" s="12" t="n">
        <f aca="false">D33/$D$35</f>
        <v>0.0107142857142857</v>
      </c>
      <c r="F33" s="13" t="n">
        <f aca="false">D33</f>
        <v>135.135135135135</v>
      </c>
      <c r="G33" s="12" t="n">
        <f aca="false">F33/$F$35</f>
        <v>0.00857142857142857</v>
      </c>
      <c r="H33" s="11" t="n">
        <f aca="false">B9</f>
        <v>15000</v>
      </c>
      <c r="I33" s="2"/>
      <c r="J33" s="2"/>
    </row>
    <row r="34" customFormat="false" ht="15" hidden="false" customHeight="false" outlineLevel="0" collapsed="false">
      <c r="A34" s="2" t="s">
        <v>47</v>
      </c>
      <c r="B34" s="13" t="n">
        <v>0</v>
      </c>
      <c r="C34" s="12" t="n">
        <f aca="false">B34/$B$35</f>
        <v>0</v>
      </c>
      <c r="D34" s="13" t="n">
        <v>0</v>
      </c>
      <c r="E34" s="12" t="n">
        <f aca="false">D34/$D$35</f>
        <v>0</v>
      </c>
      <c r="F34" s="13" t="n">
        <f aca="false">B12/B25</f>
        <v>3153.15315315315</v>
      </c>
      <c r="G34" s="12" t="n">
        <f aca="false">F34/$F$35</f>
        <v>0.2</v>
      </c>
      <c r="H34" s="11" t="n">
        <f aca="false">B12</f>
        <v>1000000</v>
      </c>
      <c r="I34" s="2"/>
      <c r="J34" s="2"/>
    </row>
    <row r="35" customFormat="false" ht="15" hidden="false" customHeight="false" outlineLevel="0" collapsed="false">
      <c r="A35" s="10" t="s">
        <v>48</v>
      </c>
      <c r="B35" s="15" t="n">
        <f aca="false">SUM(B29:B34)</f>
        <v>10000</v>
      </c>
      <c r="C35" s="16" t="n">
        <f aca="false">SUM(C29:C34)</f>
        <v>1</v>
      </c>
      <c r="D35" s="15" t="n">
        <f aca="false">SUM(D29:D34)</f>
        <v>12612.6126126126</v>
      </c>
      <c r="E35" s="16" t="n">
        <f aca="false">SUM(E29:E34)</f>
        <v>1</v>
      </c>
      <c r="F35" s="15" t="n">
        <f aca="false">SUM(F29:F34)</f>
        <v>15765.7657657658</v>
      </c>
      <c r="G35" s="16" t="n">
        <f aca="false">SUM(G29:G34)</f>
        <v>1</v>
      </c>
      <c r="H35" s="17" t="n">
        <f aca="false">SUM(H29:H34)</f>
        <v>1150000</v>
      </c>
      <c r="I35" s="2"/>
      <c r="J35" s="2"/>
    </row>
    <row r="36" customFormat="false" ht="15" hidden="false" customHeight="false" outlineLevel="0" collapsed="false">
      <c r="A36" s="2" t="s">
        <v>49</v>
      </c>
      <c r="B36" s="2"/>
      <c r="C36" s="12" t="n">
        <f aca="false">C29+C30</f>
        <v>1</v>
      </c>
      <c r="D36" s="2"/>
      <c r="E36" s="12" t="n">
        <f aca="false">E29+E30</f>
        <v>0.792857142857143</v>
      </c>
      <c r="F36" s="2"/>
      <c r="G36" s="12" t="n">
        <f aca="false">G29+G30</f>
        <v>0.634285714285714</v>
      </c>
      <c r="H36" s="2"/>
      <c r="I36" s="2"/>
      <c r="J36" s="2"/>
    </row>
    <row r="37" customFormat="false" ht="15" hidden="false" customHeight="false" outlineLevel="0" collapsed="false">
      <c r="A37" s="2" t="s">
        <v>50</v>
      </c>
      <c r="B37" s="2"/>
      <c r="C37" s="2"/>
      <c r="D37" s="11" t="n">
        <f aca="false">D35*B21</f>
        <v>1400000</v>
      </c>
      <c r="E37" s="2"/>
      <c r="F37" s="11" t="n">
        <f aca="false">F35*B25</f>
        <v>5000000</v>
      </c>
      <c r="G37" s="2"/>
      <c r="H37" s="2"/>
      <c r="I37" s="2"/>
      <c r="J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51</v>
      </c>
      <c r="B1" s="2"/>
      <c r="C1" s="2"/>
    </row>
    <row r="2" customFormat="false" ht="15" hidden="false" customHeight="false" outlineLevel="0" collapsed="false">
      <c r="A2" s="3" t="s">
        <v>52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2" t="s">
        <v>53</v>
      </c>
      <c r="B4" s="18" t="n">
        <f aca="false">'Cap table'!B17</f>
        <v>150000</v>
      </c>
      <c r="C4" s="3" t="s">
        <v>54</v>
      </c>
    </row>
    <row r="5" customFormat="false" ht="15" hidden="false" customHeight="false" outlineLevel="0" collapsed="false">
      <c r="A5" s="2" t="s">
        <v>55</v>
      </c>
      <c r="B5" s="18" t="n">
        <f aca="false">'Cap table'!B10</f>
        <v>1250000</v>
      </c>
      <c r="C5" s="3" t="s">
        <v>56</v>
      </c>
    </row>
    <row r="6" customFormat="false" ht="15" hidden="false" customHeight="false" outlineLevel="0" collapsed="false">
      <c r="A6" s="2" t="s">
        <v>57</v>
      </c>
      <c r="B6" s="6" t="n">
        <v>0.2</v>
      </c>
      <c r="C6" s="3" t="s">
        <v>58</v>
      </c>
    </row>
    <row r="7" customFormat="false" ht="15" hidden="false" customHeight="false" outlineLevel="0" collapsed="false">
      <c r="A7" s="2" t="s">
        <v>59</v>
      </c>
      <c r="B7" s="6" t="n">
        <v>0</v>
      </c>
      <c r="C7" s="3" t="s">
        <v>60</v>
      </c>
    </row>
    <row r="8" customFormat="false" ht="15" hidden="false" customHeight="false" outlineLevel="0" collapsed="false">
      <c r="A8" s="2" t="s">
        <v>61</v>
      </c>
      <c r="B8" s="19" t="n">
        <v>2</v>
      </c>
      <c r="C8" s="3" t="s">
        <v>62</v>
      </c>
    </row>
    <row r="9" customFormat="false" ht="15" hidden="false" customHeight="false" outlineLevel="0" collapsed="false">
      <c r="A9" s="2" t="s">
        <v>63</v>
      </c>
      <c r="B9" s="11" t="n">
        <f aca="false">B4*(1+B7*B8)</f>
        <v>150000</v>
      </c>
      <c r="C9" s="3"/>
    </row>
    <row r="10" customFormat="false" ht="15" hidden="false" customHeight="false" outlineLevel="0" collapsed="false">
      <c r="A10" s="2" t="s">
        <v>64</v>
      </c>
      <c r="B10" s="20" t="n">
        <f aca="false">'Cap table'!B5+'Cap table'!D31</f>
        <v>11261.2612612613</v>
      </c>
      <c r="C10" s="3" t="s">
        <v>65</v>
      </c>
    </row>
    <row r="11" customFormat="false" ht="15" hidden="false" customHeight="false" outlineLevel="0" collapsed="false">
      <c r="A11" s="2" t="s">
        <v>66</v>
      </c>
      <c r="B11" s="14" t="n">
        <f aca="false">B5/B10</f>
        <v>111</v>
      </c>
      <c r="C11" s="3" t="s">
        <v>67</v>
      </c>
    </row>
    <row r="12" customFormat="false" ht="15" hidden="false" customHeight="false" outlineLevel="0" collapsed="false">
      <c r="A12" s="2" t="s">
        <v>68</v>
      </c>
      <c r="B12" s="21" t="n">
        <f aca="false">'Cap table'!B13/B10</f>
        <v>355.2</v>
      </c>
      <c r="C12" s="3" t="s">
        <v>69</v>
      </c>
    </row>
    <row r="13" customFormat="false" ht="15" hidden="false" customHeight="false" outlineLevel="0" collapsed="false">
      <c r="A13" s="2" t="s">
        <v>70</v>
      </c>
      <c r="B13" s="14" t="n">
        <f aca="false">B12*(1-B6)</f>
        <v>284.16</v>
      </c>
      <c r="C13" s="3"/>
    </row>
    <row r="14" customFormat="false" ht="15" hidden="false" customHeight="false" outlineLevel="0" collapsed="false">
      <c r="A14" s="2" t="s">
        <v>71</v>
      </c>
      <c r="B14" s="14" t="n">
        <f aca="false">MIN(B11,B13)</f>
        <v>111</v>
      </c>
      <c r="C14" s="3"/>
    </row>
    <row r="15" customFormat="false" ht="15" hidden="false" customHeight="false" outlineLevel="0" collapsed="false">
      <c r="A15" s="2" t="s">
        <v>72</v>
      </c>
      <c r="B15" s="13" t="n">
        <f aca="false">B9/B14</f>
        <v>1351.35135135135</v>
      </c>
      <c r="C15" s="3"/>
    </row>
    <row r="16" customFormat="false" ht="15" hidden="false" customHeight="false" outlineLevel="0" collapsed="false">
      <c r="A16" s="2" t="s">
        <v>73</v>
      </c>
      <c r="B16" s="12" t="n">
        <f aca="false">B15/(B10+B15)</f>
        <v>0.107142857142857</v>
      </c>
      <c r="C16" s="3"/>
    </row>
    <row r="17" customFormat="false" ht="15" hidden="false" customHeight="false" outlineLevel="0" collapsed="false">
      <c r="A17" s="2" t="s">
        <v>74</v>
      </c>
      <c r="B17" s="18" t="n">
        <f aca="false">'Cap table'!B12</f>
        <v>1000000</v>
      </c>
      <c r="C17" s="3"/>
    </row>
    <row r="18" customFormat="false" ht="15" hidden="false" customHeight="false" outlineLevel="0" collapsed="false">
      <c r="A18" s="2" t="s">
        <v>75</v>
      </c>
      <c r="B18" s="20" t="n">
        <f aca="false">B17/('Cap table'!B13/(B10+B15))</f>
        <v>3153.15315315315</v>
      </c>
      <c r="C18" s="3" t="s">
        <v>76</v>
      </c>
    </row>
    <row r="19" customFormat="false" ht="15" hidden="false" customHeight="false" outlineLevel="0" collapsed="false">
      <c r="A19" s="2" t="s">
        <v>77</v>
      </c>
      <c r="B19" s="13" t="n">
        <f aca="false">B10+B15+B18</f>
        <v>15765.7657657658</v>
      </c>
      <c r="C19" s="3"/>
    </row>
    <row r="20" customFormat="false" ht="15" hidden="false" customHeight="false" outlineLevel="0" collapsed="false">
      <c r="A20" s="2" t="s">
        <v>78</v>
      </c>
      <c r="B20" s="22" t="n">
        <f aca="false">('Cap table'!B5)/B19</f>
        <v>0.634285714285714</v>
      </c>
      <c r="C20" s="3"/>
    </row>
    <row r="21" customFormat="false" ht="15" hidden="false" customHeight="false" outlineLevel="0" collapsed="false">
      <c r="A21" s="2" t="s">
        <v>79</v>
      </c>
      <c r="B21" s="22" t="n">
        <f aca="false">'Cap table'!G36</f>
        <v>0.634285714285714</v>
      </c>
      <c r="C21" s="3" t="s">
        <v>80</v>
      </c>
    </row>
    <row r="22" customFormat="false" ht="15" hidden="false" customHeight="false" outlineLevel="0" collapsed="false">
      <c r="A22" s="2" t="s">
        <v>81</v>
      </c>
      <c r="B22" s="12" t="n">
        <f aca="false">B15/B19</f>
        <v>0.0857142857142857</v>
      </c>
      <c r="C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2" t="s">
        <v>82</v>
      </c>
    </row>
    <row r="2" customFormat="false" ht="15" hidden="false" customHeight="false" outlineLevel="0" collapsed="false">
      <c r="A2" s="2" t="s">
        <v>83</v>
      </c>
    </row>
    <row r="3" customFormat="false" ht="15" hidden="false" customHeight="false" outlineLevel="0" collapsed="false">
      <c r="A3" s="2" t="s">
        <v>84</v>
      </c>
    </row>
    <row r="4" customFormat="false" ht="15" hidden="false" customHeight="false" outlineLevel="0" collapsed="false">
      <c r="A4" s="2" t="s">
        <v>85</v>
      </c>
    </row>
    <row r="5" customFormat="false" ht="15" hidden="false" customHeight="false" outlineLevel="0" collapsed="false">
      <c r="A5" s="2" t="s">
        <v>86</v>
      </c>
    </row>
    <row r="6" customFormat="false" ht="15" hidden="false" customHeight="false" outlineLevel="0" collapsed="false">
      <c r="A6" s="2" t="s">
        <v>87</v>
      </c>
    </row>
    <row r="7" customFormat="false" ht="15" hidden="false" customHeight="false" outlineLevel="0" collapsed="false">
      <c r="A7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2026-10-07T05:12:34Z</dcterms:created>
  <dc:creator>openpyxl</dc:creator>
  <dc:description/>
  <dc:language>en-US</dc:language>
  <cp:lastModifiedBy/>
  <dcterms:modified xsi:type="dcterms:W3CDTF">2026-10-07T05:12:34Z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