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2"/>
    <sheet name="Assumptions" sheetId="2" state="visible" r:id="rId3"/>
    <sheet name="Revenue" sheetId="3" state="visible" r:id="rId4"/>
    <sheet name="Costs" sheetId="4" state="visible" r:id="rId5"/>
    <sheet name="P&amp;L &amp; Cash" sheetId="5" state="visible" r:id="rId6"/>
    <sheet name="Unit economics" sheetId="6" state="visible" r:id="rId7"/>
    <sheet name="Scenarios" sheetId="7" state="visible" r:id="rId8"/>
    <sheet name="Use of funds" sheetId="8" state="visible" r:id="rId9"/>
    <sheet name="Cap table" sheetId="9" state="visible" r:id="rId10"/>
    <sheet name="Sources" sheetId="10" state="visible" r:id="rId11"/>
  </sheets>
  <definedNames>
    <definedName function="false" hidden="false" name="in_A11yAmt" vbProcedure="false">Assumptions!$B$79</definedName>
    <definedName function="false" hidden="false" name="in_A11yEnd" vbProcedure="false">Assumptions!$B$81</definedName>
    <definedName function="false" hidden="false" name="in_A11yStart" vbProcedure="false">Assumptions!$B$80</definedName>
    <definedName function="false" hidden="false" name="in_Admin" vbProcedure="false">Assumptions!$B$69</definedName>
    <definedName function="false" hidden="false" name="in_AngelPct" vbProcedure="false">'Cap table'!$E$18</definedName>
    <definedName function="false" hidden="false" name="in_Angels" vbProcedure="false">Assumptions!$B$14</definedName>
    <definedName function="false" hidden="false" name="in_ARPA" vbProcedure="false">'Unit economics'!$B$7</definedName>
    <definedName function="false" hidden="false" name="in_ARPA1" vbProcedure="false">Assumptions!$B$35</definedName>
    <definedName function="false" hidden="false" name="in_BlendedPriceRON" vbProcedure="false">Assumptions!$B$34</definedName>
    <definedName function="false" hidden="false" name="in_Breakeven" vbProcedure="false">'P&amp;L &amp; Cash'!$C$37</definedName>
    <definedName function="false" hidden="false" name="in_CAC" vbProcedure="false">'Unit economics'!$B$13</definedName>
    <definedName function="false" hidden="false" name="in_CACPaid" vbProcedure="false">'Unit economics'!$B$14</definedName>
    <definedName function="false" hidden="false" name="in_CAM" vbProcedure="false">Assumptions!$B$45</definedName>
    <definedName function="false" hidden="false" name="in_Cash36" vbProcedure="false">'P&amp;L &amp; Cash'!$C$41</definedName>
    <definedName function="false" hidden="false" name="in_CashLow" vbProcedure="false">'P&amp;L &amp; Cash'!$C$38</definedName>
    <definedName function="false" hidden="false" name="in_CashLowA" vbProcedure="false">'P&amp;L &amp; Cash'!$C$40</definedName>
    <definedName function="false" hidden="false" name="in_CashLowMonth" vbProcedure="false">'P&amp;L &amp; Cash'!$C$39</definedName>
    <definedName function="false" hidden="false" name="in_Churn" vbProcedure="false">Assumptions!$B$109</definedName>
    <definedName function="false" hidden="false" name="in_ChurnUE" vbProcedure="false">'Unit economics'!$B$15</definedName>
    <definedName function="false" hidden="false" name="in_CM" vbProcedure="false">'Unit economics'!$B$9</definedName>
    <definedName function="false" hidden="false" name="in_CommMonths" vbProcedure="false">Assumptions!$B$42</definedName>
    <definedName function="false" hidden="false" name="in_CommRate" vbProcedure="false">Assumptions!$B$41</definedName>
    <definedName function="false" hidden="false" name="in_Contingency" vbProcedure="false">Assumptions!$B$70</definedName>
    <definedName function="false" hidden="false" name="in_Cost12" vbProcedure="false">'P&amp;L &amp; Cash'!$C$45</definedName>
    <definedName function="false" hidden="false" name="in_Cost24" vbProcedure="false">'P&amp;L &amp; Cash'!$C$46</definedName>
    <definedName function="false" hidden="false" name="in_Cost36" vbProcedure="false">'P&amp;L &amp; Cash'!$C$47</definedName>
    <definedName function="false" hidden="false" name="in_CostPerTrial" vbProcedure="false">Assumptions!$B$108</definedName>
    <definedName function="false" hidden="false" name="in_DevStart" vbProcedure="false">Assumptions!$B$111</definedName>
    <definedName function="false" hidden="false" name="in_ESOP" vbProcedure="false">Assumptions!$B$18</definedName>
    <definedName function="false" hidden="false" name="in_ESOPPct" vbProcedure="false">'Cap table'!$E$16</definedName>
    <definedName function="false" hidden="false" name="in_FoundersPostM" vbProcedure="false">'Cap table'!$E$14</definedName>
    <definedName function="false" hidden="false" name="in_FoundersPostR" vbProcedure="false">'Cap table'!$E$15</definedName>
    <definedName function="false" hidden="false" name="in_FundingMonth" vbProcedure="false">Assumptions!$B$9</definedName>
    <definedName function="false" hidden="false" name="in_FX" vbProcedure="false">Assumptions!$B$7</definedName>
    <definedName function="false" hidden="false" name="in_GMPL" vbProcedure="false">'Unit economics'!$B$10</definedName>
    <definedName function="false" hidden="false" name="in_InfraFixed" vbProcedure="false">Assumptions!$B$59</definedName>
    <definedName function="false" hidden="false" name="in_InfraVar" vbProcedure="false">Assumptions!$B$60</definedName>
    <definedName function="false" hidden="false" name="in_Insurance" vbProcedure="false">Assumptions!$B$68</definedName>
    <definedName function="false" hidden="false" name="in_InvPct" vbProcedure="false">'Cap table'!$B$7</definedName>
    <definedName function="false" hidden="false" name="in_LegalAmt" vbProcedure="false">Assumptions!$B$73</definedName>
    <definedName function="false" hidden="false" name="in_LegalEnd" vbProcedure="false">Assumptions!$B$75</definedName>
    <definedName function="false" hidden="false" name="in_LegalStart" vbProcedure="false">Assumptions!$B$74</definedName>
    <definedName function="false" hidden="false" name="in_Lifetime" vbProcedure="false">'Unit economics'!$B$16</definedName>
    <definedName function="false" hidden="false" name="in_LTV" vbProcedure="false">'Unit economics'!$B$17</definedName>
    <definedName function="false" hidden="false" name="in_LTVCAC" vbProcedure="false">'Unit economics'!$B$18</definedName>
    <definedName function="false" hidden="false" name="in_M100" vbProcedure="false">Revenue!$C$32</definedName>
    <definedName function="false" hidden="false" name="in_M30" vbProcedure="false">Revenue!$C$31</definedName>
    <definedName function="false" hidden="false" name="in_M300" vbProcedure="false">Revenue!$C$33</definedName>
    <definedName function="false" hidden="false" name="in_MaxCheck" vbProcedure="false">'P&amp;L &amp; Cash'!$C$48</definedName>
    <definedName function="false" hidden="false" name="in_MicroRate" vbProcedure="false">Assumptions!$B$88</definedName>
    <definedName function="false" hidden="false" name="in_MinPrivatePct" vbProcedure="false">Assumptions!$B$16</definedName>
    <definedName function="false" hidden="false" name="in_MixAll" vbProcedure="false">Assumptions!$B$32</definedName>
    <definedName function="false" hidden="false" name="in_MixCheck" vbProcedure="false">Assumptions!$B$33</definedName>
    <definedName function="false" hidden="false" name="in_MixCore" vbProcedure="false">Assumptions!$B$28</definedName>
    <definedName function="false" hidden="false" name="in_MixExtHR" vbProcedure="false">Assumptions!$B$29</definedName>
    <definedName function="false" hidden="false" name="in_MixFin" vbProcedure="false">Assumptions!$B$31</definedName>
    <definedName function="false" hidden="false" name="in_MixOps" vbProcedure="false">Assumptions!$B$30</definedName>
    <definedName function="false" hidden="false" name="in_MktY1" vbProcedure="false">Assumptions!$B$63</definedName>
    <definedName function="false" hidden="false" name="in_MktY2" vbProcedure="false">Assumptions!$B$64</definedName>
    <definedName function="false" hidden="false" name="in_MktY3" vbProcedure="false">Assumptions!$B$65</definedName>
    <definedName function="false" hidden="false" name="in_NewPartnersY1" vbProcedure="false">Assumptions!$B$99</definedName>
    <definedName function="false" hidden="false" name="in_NewPartnersY2" vbProcedure="false">Assumptions!$B$100</definedName>
    <definedName function="false" hidden="false" name="in_NewPartnersY3" vbProcedure="false">Assumptions!$B$101</definedName>
    <definedName function="false" hidden="false" name="in_Office" vbProcedure="false">Assumptions!$B$67</definedName>
    <definedName function="false" hidden="false" name="in_OpeningCash" vbProcedure="false">Assumptions!$B$10</definedName>
    <definedName function="false" hidden="false" name="in_OptionA" vbProcedure="false">'P&amp;L &amp; Cash'!$C$32</definedName>
    <definedName function="false" hidden="false" name="in_OrganicY1" vbProcedure="false">Assumptions!$B$104</definedName>
    <definedName function="false" hidden="false" name="in_OrganicY2" vbProcedure="false">Assumptions!$B$105</definedName>
    <definedName function="false" hidden="false" name="in_OrganicY3" vbProcedure="false">Assumptions!$B$106</definedName>
    <definedName function="false" hidden="false" name="in_PaidShare" vbProcedure="false">Assumptions!$B$40</definedName>
    <definedName function="false" hidden="false" name="in_PartnerStart" vbProcedure="false">Assumptions!$B$39</definedName>
    <definedName function="false" hidden="false" name="in_Payback" vbProcedure="false">'Unit economics'!$B$19</definedName>
    <definedName function="false" hidden="false" name="in_PayFee" vbProcedure="false">Assumptions!$B$62</definedName>
    <definedName function="false" hidden="false" name="in_PayrollValAmt" vbProcedure="false">Assumptions!$B$76</definedName>
    <definedName function="false" hidden="false" name="in_PayrollValEnd" vbProcedure="false">Assumptions!$B$78</definedName>
    <definedName function="false" hidden="false" name="in_PayrollValStart" vbProcedure="false">Assumptions!$B$77</definedName>
    <definedName function="false" hidden="false" name="in_PentestAmt" vbProcedure="false">Assumptions!$B$82</definedName>
    <definedName function="false" hidden="false" name="in_PentestEnd" vbProcedure="false">Assumptions!$B$84</definedName>
    <definedName function="false" hidden="false" name="in_PentestStart" vbProcedure="false">Assumptions!$B$83</definedName>
    <definedName function="false" hidden="false" name="in_PilotConv" vbProcedure="false">Assumptions!$B$98</definedName>
    <definedName function="false" hidden="false" name="in_PilotConvMonth" vbProcedure="false">Assumptions!$B$38</definedName>
    <definedName function="false" hidden="false" name="in_PilotFirmsPerPractice" vbProcedure="false">Assumptions!$B$97</definedName>
    <definedName function="false" hidden="false" name="in_PilotPractices" vbProcedure="false">Assumptions!$B$96</definedName>
    <definedName function="false" hidden="false" name="in_PostMoney" vbProcedure="false">'Cap table'!$B$6</definedName>
    <definedName function="false" hidden="false" name="in_PreMoney" vbProcedure="false">Assumptions!$B$17</definedName>
    <definedName function="false" hidden="false" name="in_PriceAll" vbProcedure="false">Assumptions!$B$25</definedName>
    <definedName function="false" hidden="false" name="in_PriceCore" vbProcedure="false">Assumptions!$B$21</definedName>
    <definedName function="false" hidden="false" name="in_PriceExtHR" vbProcedure="false">Assumptions!$B$22</definedName>
    <definedName function="false" hidden="false" name="in_PriceFin" vbProcedure="false">Assumptions!$B$24</definedName>
    <definedName function="false" hidden="false" name="in_PriceInc" vbProcedure="false">Assumptions!$B$110</definedName>
    <definedName function="false" hidden="false" name="in_PriceOps" vbProcedure="false">Assumptions!$B$23</definedName>
    <definedName function="false" hidden="false" name="in_ProfitTax" vbProcedure="false">Assumptions!$B$89</definedName>
    <definedName function="false" hidden="false" name="in_Raise" vbProcedure="false">Assumptions!$B$46</definedName>
    <definedName function="false" hidden="false" name="in_RefConv" vbProcedure="false">Assumptions!$B$103</definedName>
    <definedName function="false" hidden="false" name="in_RefRate" vbProcedure="false">Assumptions!$B$102</definedName>
    <definedName function="false" hidden="false" name="in_Rev12" vbProcedure="false">'P&amp;L &amp; Cash'!$C$42</definedName>
    <definedName function="false" hidden="false" name="in_Rev24" vbProcedure="false">'P&amp;L &amp; Cash'!$C$43</definedName>
    <definedName function="false" hidden="false" name="in_Rev36" vbProcedure="false">'P&amp;L &amp; Cash'!$C$44</definedName>
    <definedName function="false" hidden="false" name="in_Round" vbProcedure="false">Assumptions!$B$15</definedName>
    <definedName function="false" hidden="false" name="in_RunwayPlan" vbProcedure="false">'P&amp;L &amp; Cash'!$C$35</definedName>
    <definedName function="false" hidden="false" name="in_RunwayPlanA" vbProcedure="false">'P&amp;L &amp; Cash'!$C$36</definedName>
    <definedName function="false" hidden="false" name="in_RunwayZeroRev" vbProcedure="false">'P&amp;L &amp; Cash'!$C$33</definedName>
    <definedName function="false" hidden="false" name="in_RunwayZeroRevA" vbProcedure="false">'P&amp;L &amp; Cash'!$C$34</definedName>
    <definedName function="false" hidden="false" name="in_SalDev" vbProcedure="false">Assumptions!$B$56</definedName>
    <definedName function="false" hidden="false" name="in_SalesFTE" vbProcedure="false">Assumptions!$B$50</definedName>
    <definedName function="false" hidden="false" name="in_SalesFullStart" vbProcedure="false">Assumptions!$B$51</definedName>
    <definedName function="false" hidden="false" name="in_SalesStart" vbProcedure="false">Assumptions!$B$49</definedName>
    <definedName function="false" hidden="false" name="in_SalFounder" vbProcedure="false">Assumptions!$B$47</definedName>
    <definedName function="false" hidden="false" name="in_SalSales" vbProcedure="false">Assumptions!$B$48</definedName>
    <definedName function="false" hidden="false" name="in_SalSupport" vbProcedure="false">Assumptions!$B$52</definedName>
    <definedName function="false" hidden="false" name="in_StartDate" vbProcedure="false">Assumptions!$B$8</definedName>
    <definedName function="false" hidden="false" name="in_SupportFTE" vbProcedure="false">Assumptions!$B$54</definedName>
    <definedName function="false" hidden="false" name="in_SupportFullStart" vbProcedure="false">Assumptions!$B$55</definedName>
    <definedName function="false" hidden="false" name="in_SupportStart" vbProcedure="false">Assumptions!$B$53</definedName>
    <definedName function="false" hidden="false" name="in_TaxRegime" vbProcedure="false">Assumptions!$B$87</definedName>
    <definedName function="false" hidden="false" name="in_Tools" vbProcedure="false">Assumptions!$B$61</definedName>
    <definedName function="false" hidden="false" name="in_Travel" vbProcedure="false">Assumptions!$B$66</definedName>
    <definedName function="false" hidden="false" name="in_TrialConv" vbProcedure="false">Assumptions!$B$107</definedName>
    <definedName function="false" hidden="false" name="in_UEYear" vbProcedure="false">Assumptions!$B$92</definedName>
    <definedName function="false" hidden="false" name="in_UE_CustMonths" vbProcedure="false">'Unit economics'!$B$6</definedName>
    <definedName function="false" hidden="false" name="in_UE_New" vbProcedure="false">'Unit economics'!$B$12</definedName>
    <definedName function="false" hidden="false" name="in_UE_Rev" vbProcedure="false">'Unit economics'!$B$5</definedName>
    <definedName function="false" hidden="false" name="in_UE_SnM" vbProcedure="false">'Unit economics'!$B$11</definedName>
    <definedName function="false" hidden="false" name="in_VarCost" vbProcedure="false">'Unit economics'!$B$8</definedName>
    <definedName function="false" hidden="false" name="in_VVPct" vbProcedure="false">'Cap table'!$E$17</definedName>
    <definedName function="false" hidden="false" name="in_VVTicket" vbProcedure="false">Assumptions!$B$13</definedName>
    <definedName function="false" hidden="false" name="ScenarioIdx" vbProcedure="false">Cover!$C$8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<sst xmlns="http://schemas.openxmlformats.org/spreadsheetml/2006/main" count="698" uniqueCount="450">
  <si>
    <t xml:space="preserve">ADMINISTRATIVO - financial model (pre-seed)</t>
  </si>
  <si>
    <t xml:space="preserve">HR &amp; administration SaaS for Romanian SMEs - administrativo.ro</t>
  </si>
  <si>
    <t xml:space="preserve">Prepared</t>
  </si>
  <si>
    <t xml:space="preserve">7 Oct 2026</t>
  </si>
  <si>
    <t xml:space="preserve">Currency</t>
  </si>
  <si>
    <t xml:space="preserve">EUR (RON converted at 5.0 RON = 1 EUR, Assumptions!in_FX)</t>
  </si>
  <si>
    <t xml:space="preserve">Status on 6 Oct 2026</t>
  </si>
  <si>
    <t xml:space="preserve">Product live since early Sept 2026; ZERO paying customers; free pilots only</t>
  </si>
  <si>
    <t xml:space="preserve">SCENARIO SELECTOR (1 = Base, 2 = Conservative, 3 = Upside)</t>
  </si>
  <si>
    <t xml:space="preserve">Key outputs (selected scenario, PROJECTION)</t>
  </si>
  <si>
    <t xml:space="preserve">Round size</t>
  </si>
  <si>
    <t xml:space="preserve">Pre-money / post-money valuation</t>
  </si>
  <si>
    <t xml:space="preserve">Investors' ownership post-money</t>
  </si>
  <si>
    <t xml:space="preserve">Model month 1 (assumed close)</t>
  </si>
  <si>
    <t xml:space="preserve">Runway with zero revenue</t>
  </si>
  <si>
    <t xml:space="preserve">Runway on plan</t>
  </si>
  <si>
    <t xml:space="preserve">Paying customers, month 12 / 24 / 36</t>
  </si>
  <si>
    <t xml:space="preserve">MRR month 12</t>
  </si>
  <si>
    <t xml:space="preserve">MRR month 24</t>
  </si>
  <si>
    <t xml:space="preserve">MRR month 36</t>
  </si>
  <si>
    <t xml:space="preserve">ARR month 36</t>
  </si>
  <si>
    <t xml:space="preserve">Break-even month (model month #)</t>
  </si>
  <si>
    <t xml:space="preserve">Cash low point</t>
  </si>
  <si>
    <t xml:space="preserve">Months to 30 / 100 / 300 paying customers</t>
  </si>
  <si>
    <t xml:space="preserve">Blended ARPA (year 2) / LTV / CAC</t>
  </si>
  <si>
    <t xml:space="preserve">LTV/CAC, CAC payback</t>
  </si>
  <si>
    <t xml:space="preserve">Integrity checks (plan mix = 100%, EBITDA check = 0)</t>
  </si>
  <si>
    <t xml:space="preserve">Legend</t>
  </si>
  <si>
    <t xml:space="preserve">Blue text</t>
  </si>
  <si>
    <t xml:space="preserve">hard-coded input - edit on Assumptions / Scenarios</t>
  </si>
  <si>
    <t xml:space="preserve">Green text</t>
  </si>
  <si>
    <t xml:space="preserve">link to another sheet</t>
  </si>
  <si>
    <t xml:space="preserve">Black text</t>
  </si>
  <si>
    <t xml:space="preserve">formula</t>
  </si>
  <si>
    <t xml:space="preserve">Yellow fill</t>
  </si>
  <si>
    <t xml:space="preserve">key lever (scenario, round, valuation, ESOP)</t>
  </si>
  <si>
    <t xml:space="preserve">Honesty notes</t>
  </si>
  <si>
    <t xml:space="preserve">All figures after 6 Oct 2026 are PROJECTIONS built bottom-up from pilots -&gt; accountant partners -&gt; direct trials. No revenue exists today.</t>
  </si>
  <si>
    <t xml:space="preserve">Payroll is built, undergoing accountant validation; the Finance package share is kept low.</t>
  </si>
  <si>
    <t xml:space="preserve">Prices above 20 employees are not published; larger firms are modelled at list price.</t>
  </si>
  <si>
    <t xml:space="preserve">No billing integration exists in code yet; payment fees are an assumption.</t>
  </si>
  <si>
    <t xml:space="preserve">Salaries, conversion rates and partner productivity are founders' assumptions (no external source).</t>
  </si>
  <si>
    <t xml:space="preserve">Lean pre-seed cost plan: co-founders on lean salaries, partner manager and support specialist part-time first (partner signings scaled to the manager's hours), developer hired only after the seed.</t>
  </si>
  <si>
    <t xml:space="preserve">[TO CONFIRM]: legal entity and registered office (VV requires Arad, Caraș-Severin, Hunedoara or Timiș), tax regime, social parts.</t>
  </si>
  <si>
    <t xml:space="preserve">Sheets: Assumptions -&gt; Revenue -&gt; Costs -&gt; P&amp;L &amp; Cash -&gt; Unit economics; Scenarios; Use of funds; Cap table; Sources.</t>
  </si>
  <si>
    <t xml:space="preserve">Assumptions - every driver of the model</t>
  </si>
  <si>
    <t xml:space="preserve">Blue = hard-coded input (edit here). Green = picked from 'Scenarios' for the scenario chosen on Cover. Black = calculated. Yellow = key lever. Nothing on other sheets is hard-coded.</t>
  </si>
  <si>
    <t xml:space="preserve">Driver</t>
  </si>
  <si>
    <t xml:space="preserve">Value</t>
  </si>
  <si>
    <t xml:space="preserve">Unit</t>
  </si>
  <si>
    <t xml:space="preserve">Source / note</t>
  </si>
  <si>
    <t xml:space="preserve">General</t>
  </si>
  <si>
    <t xml:space="preserve">Exchange rate RON per EUR</t>
  </si>
  <si>
    <t xml:space="preserve">RON/EUR</t>
  </si>
  <si>
    <t xml:space="preserve">Convention used in every document of this application.</t>
  </si>
  <si>
    <t xml:space="preserve">Model month 1</t>
  </si>
  <si>
    <t xml:space="preserve">date</t>
  </si>
  <si>
    <t xml:space="preserve">Model starts Jan 2027 = assumed close of the round. VV Accelerator Cohort 3 date is NOT published (vestventures.vc, 6 Oct 2026) -&gt; if the close slips, the whole timeline shifts.</t>
  </si>
  <si>
    <t xml:space="preserve">Month the round is received</t>
  </si>
  <si>
    <t xml:space="preserve">model month</t>
  </si>
  <si>
    <t xml:space="preserve">ASSUMPTION; see StartDate.</t>
  </si>
  <si>
    <t xml:space="preserve">Cash in the company before the round</t>
  </si>
  <si>
    <t xml:space="preserve">EUR</t>
  </si>
  <si>
    <t xml:space="preserve">[TO CONFIRM] by the founders. Set to 0 (prudent).</t>
  </si>
  <si>
    <t xml:space="preserve">Round (key levers)</t>
  </si>
  <si>
    <t xml:space="preserve">Vest Ventures accelerator ticket</t>
  </si>
  <si>
    <t xml:space="preserve">VV Accelerator ticket EUR 10k-200k, de minimis, &gt;=10% independent private co-investment (vestventures.vc/en/programs-terms). EUR 135k requested, inside the range.</t>
  </si>
  <si>
    <t xml:space="preserve">Independent private co-investors (business angels)</t>
  </si>
  <si>
    <t xml:space="preserve">10% of the round (11.1% of the VV ticket): meets VV's &gt;=10% private co-investment rule whether it is measured on the total (exactly, no margin) or on VV's ticket - basis [TO CONFIRM] with VV. Angels NOT identified yet.</t>
  </si>
  <si>
    <t xml:space="preserve">Round size (VV ticket + angels)</t>
  </si>
  <si>
    <t xml:space="preserve">Calculated. Target range given by the founders: EUR 150k-300k pre-seed.</t>
  </si>
  <si>
    <t xml:space="preserve">Minimum private co-investment (VV rule, as % of VV ticket)</t>
  </si>
  <si>
    <t xml:space="preserve">%</t>
  </si>
  <si>
    <t xml:space="preserve">Vest Ventures programme terms ('&gt;=10% private co-investment'). Basis of the 10% (ticket vs total) [TO CONFIRM] with VV.</t>
  </si>
  <si>
    <t xml:space="preserve">Pre-money valuation (fully diluted, incl. new ESOP)</t>
  </si>
  <si>
    <t xml:space="preserve">Founders' proposal. We found no sourced RO/CEE pre-seed valuation benchmark; DERIVED range EUR 0.75-3M post.</t>
  </si>
  <si>
    <t xml:space="preserve">Employee option pool, % of post-money (created pre-money)</t>
  </si>
  <si>
    <t xml:space="preserve">Created before the round so it dilutes founders only (standard 'pre-money pool'). SRL needs a phantom/virtual scheme until SRL-&gt;SA [TO CONFIRM].</t>
  </si>
  <si>
    <t xml:space="preserve">Pricing (list prices, RON/month, final - seller not VAT-registered)</t>
  </si>
  <si>
    <t xml:space="preserve">HR core (attendance, leave, personnel file, employee portal)</t>
  </si>
  <si>
    <t xml:space="preserve">RON/month</t>
  </si>
  <si>
    <t xml:space="preserve">Public price list, administrativo.ro/en/preturi</t>
  </si>
  <si>
    <t xml:space="preserve">Extended HR package (core + REGES, onboarding, courses, SSM, evaluations, KPI)</t>
  </si>
  <si>
    <t xml:space="preserve">Operations package (core + fleet, maintenance, inventory, announcements, ticketing)</t>
  </si>
  <si>
    <t xml:space="preserve">Finance package (core + payroll, per diem, reports)</t>
  </si>
  <si>
    <t xml:space="preserve">Whole application (all 15 add-ons)</t>
  </si>
  <si>
    <t xml:space="preserve">Plan mix of paying customers (must sum to 100%)</t>
  </si>
  <si>
    <t xml:space="preserve">Share on HR core</t>
  </si>
  <si>
    <t xml:space="preserve">ASSUMPTION.</t>
  </si>
  <si>
    <t xml:space="preserve">Share on Extended HR package</t>
  </si>
  <si>
    <t xml:space="preserve">Share on Operations package</t>
  </si>
  <si>
    <t xml:space="preserve">Share on Finance package</t>
  </si>
  <si>
    <t xml:space="preserve">ASSUMPTION. Payroll (Finance) kept low: payroll is built, undergoing accountant validation.</t>
  </si>
  <si>
    <t xml:space="preserve">Share on Whole application</t>
  </si>
  <si>
    <t xml:space="preserve">Check: plan mix total</t>
  </si>
  <si>
    <t xml:space="preserve">Must equal 100%.</t>
  </si>
  <si>
    <t xml:space="preserve">Blended list price per paying customer (year 1)</t>
  </si>
  <si>
    <t xml:space="preserve">Calculated = sum(price x mix). Firms above 20 employees have no published price -&gt; modelled at list price (understates revenue from larger firms).</t>
  </si>
  <si>
    <t xml:space="preserve">Blended ARPA, year 1</t>
  </si>
  <si>
    <t xml:space="preserve">EUR/month</t>
  </si>
  <si>
    <t xml:space="preserve">Channels and timing</t>
  </si>
  <si>
    <t xml:space="preserve">Month pilot companies start paying</t>
  </si>
  <si>
    <t xml:space="preserve">Apr 2027: pilot is free until 31 Mar 2027 (administrativo.ro/pentru-contabili).</t>
  </si>
  <si>
    <t xml:space="preserve">First month new partners are signed</t>
  </si>
  <si>
    <t xml:space="preserve">One month after the partner manager starts (in_SalesStart).</t>
  </si>
  <si>
    <t xml:space="preserve">Share of marketing budget spent on performance ads</t>
  </si>
  <si>
    <t xml:space="preserve">Rest is content/SEO/events material. ASSUMPTION.</t>
  </si>
  <si>
    <t xml:space="preserve">Accountant commission on referred subscription</t>
  </si>
  <si>
    <t xml:space="preserve">20% for 6 months from first paid month (administrativo.ro/pentru-contabili).</t>
  </si>
  <si>
    <t xml:space="preserve">Commission duration</t>
  </si>
  <si>
    <t xml:space="preserve">months</t>
  </si>
  <si>
    <t xml:space="preserve">administrativo.ro/pentru-contabili.</t>
  </si>
  <si>
    <t xml:space="preserve">Team (gross monthly salary, EUR; employer adds CAM)</t>
  </si>
  <si>
    <t xml:space="preserve">Employer contribution on gross (CAM)</t>
  </si>
  <si>
    <t xml:space="preserve">Romanian 'contribuția asiguratorie pentru muncă' 2.25% - legal value [TO CONFIRM] by accountant.</t>
  </si>
  <si>
    <t xml:space="preserve">Annual salary increase (from year 2)</t>
  </si>
  <si>
    <t xml:space="preserve">Co-founder gross salary (each, 2 people)</t>
  </si>
  <si>
    <t xml:space="preserve">Both co-founders full time from close, on a deliberately lean pre-seed salary (~RON 5,000 gross) to stretch the runway; kept at this level in the model (only the annual raise applies). ASSUMPTION - no sourced salary benchmark.</t>
  </si>
  <si>
    <t xml:space="preserve">Partner &amp; sales manager (accountant channel) gross, full-time equivalent</t>
  </si>
  <si>
    <t xml:space="preserve">ASSUMPTION (no sourced salary benchmark). Paid pro rata to in_SalesFTE while part-time.</t>
  </si>
  <si>
    <t xml:space="preserve">Partner &amp; sales manager start month</t>
  </si>
  <si>
    <t xml:space="preserve">Partner &amp; sales manager share of full time until full-time start</t>
  </si>
  <si>
    <t xml:space="preserve">FTE</t>
  </si>
  <si>
    <t xml:space="preserve">Half time in year 1 to fit the EUR 150k round. Partner signings scale with it (new partners/month x FTE): fewer sales hours = fewer partners. ASSUMPTION.</t>
  </si>
  <si>
    <t xml:space="preserve">Partner &amp; sales manager full time from</t>
  </si>
  <si>
    <t xml:space="preserve">Jan 2028, after the first year of channel data. ASSUMPTION.</t>
  </si>
  <si>
    <t xml:space="preserve">Customer onboarding &amp; support specialist (HR/payroll background) gross, full-time equivalent</t>
  </si>
  <si>
    <t xml:space="preserve">ASSUMPTION. Paid pro rata to in_SupportFTE while part-time.</t>
  </si>
  <si>
    <t xml:space="preserve">Onboarding &amp; support specialist start month</t>
  </si>
  <si>
    <t xml:space="preserve">Founders onboard the pilot companies (Apr 2027); the specialist starts part-time around 30 paying customers. ASSUMPTION.</t>
  </si>
  <si>
    <t xml:space="preserve">Onboarding &amp; support specialist share of full time until full-time start</t>
  </si>
  <si>
    <t xml:space="preserve">Onboarding &amp; support specialist full time from</t>
  </si>
  <si>
    <t xml:space="preserve">With the seed (same month as the base-case developer hire). ASSUMPTION.</t>
  </si>
  <si>
    <t xml:space="preserve">Full-stack developer gross</t>
  </si>
  <si>
    <t xml:space="preserve">ASSUMPTION. Start month is a scenario driver (in_DevStart).</t>
  </si>
  <si>
    <t xml:space="preserve">Operating costs (EUR)</t>
  </si>
  <si>
    <t xml:space="preserve">Hosting, database, e-mail, monitoring, backups (fixed)</t>
  </si>
  <si>
    <t xml:space="preserve">Founders' internal cost estimate ~EUR 2,000/yr minimal; raised for a separate prod project + staging.</t>
  </si>
  <si>
    <t xml:space="preserve">Variable infra per paying customer (storage, push, AI usage)</t>
  </si>
  <si>
    <t xml:space="preserve">EUR/customer/mo</t>
  </si>
  <si>
    <t xml:space="preserve">Development tools and AI subscriptions</t>
  </si>
  <si>
    <t xml:space="preserve">Founders' internal cost estimate (EUR 2,400/yr), rounded up.</t>
  </si>
  <si>
    <t xml:space="preserve">Payment processing fees</t>
  </si>
  <si>
    <t xml:space="preserve">% of revenue</t>
  </si>
  <si>
    <t xml:space="preserve">No billing provider integrated yet (invoicing is manual today). ASSUMPTION for card/online payment.</t>
  </si>
  <si>
    <t xml:space="preserve">Marketing budget, year 1</t>
  </si>
  <si>
    <t xml:space="preserve">Marketing budget, year 2</t>
  </si>
  <si>
    <t xml:space="preserve">Marketing budget, year 3</t>
  </si>
  <si>
    <t xml:space="preserve">Travel to accounting practices, accountant events</t>
  </si>
  <si>
    <t xml:space="preserve">Founders' internal cost estimate (accountant sales), trimmed to fit the EUR 150k round: local Timiș/West Region practices first, few paid events.</t>
  </si>
  <si>
    <t xml:space="preserve">Coworking desk(s) in Timiș county</t>
  </si>
  <si>
    <t xml:space="preserve">VV requires an operating site in the West Region (vestventures.vc/en/programs-terms). ASSUMPTION.</t>
  </si>
  <si>
    <t xml:space="preserve">Professional liability insurance</t>
  </si>
  <si>
    <t xml:space="preserve">Founders' internal cost estimate (EUR 1,200/yr).</t>
  </si>
  <si>
    <t xml:space="preserve">Bookkeeping, bank, admin</t>
  </si>
  <si>
    <t xml:space="preserve">Contingency on all costs</t>
  </si>
  <si>
    <t xml:space="preserve">One-off legal, validation and compliance (EUR, spread evenly from start to end month)</t>
  </si>
  <si>
    <t xml:space="preserve">Legal: round documents, T&amp;C, DPA, IP assignment to the SRL</t>
  </si>
  <si>
    <t xml:space="preserve">Founders' internal cost estimate (EUR 3,500 minimal) + round paperwork.</t>
  </si>
  <si>
    <t xml:space="preserve">  start month</t>
  </si>
  <si>
    <t xml:space="preserve">  end month</t>
  </si>
  <si>
    <t xml:space="preserve">Payroll legal values validated by accountant / lawyer</t>
  </si>
  <si>
    <t xml:space="preserve">Founders' internal cost estimate ('~EUR 8,000 of expertise'). Every payroll legal value is still marked to confirm.</t>
  </si>
  <si>
    <t xml:space="preserve">Accessibility audit and fixes (EN 301 549)</t>
  </si>
  <si>
    <t xml:space="preserve">Required for software built inside the VV programme (vestventures.vc/en/programs-terms). ASSUMPTION on cost.</t>
  </si>
  <si>
    <t xml:space="preserve">External penetration test</t>
  </si>
  <si>
    <t xml:space="preserve">Founders' internal cost estimate ('~EUR 6,000').</t>
  </si>
  <si>
    <t xml:space="preserve">Dec 2027: before the year-2 scale-up and before seed due diligence.</t>
  </si>
  <si>
    <t xml:space="preserve">Tax</t>
  </si>
  <si>
    <t xml:space="preserve">Tax regime (1 = micro-enterprise on revenue, 2 = profit tax)</t>
  </si>
  <si>
    <t xml:space="preserve">1 / 2</t>
  </si>
  <si>
    <t xml:space="preserve">[TO CONFIRM] with accountant: micro-enterprise eligibility (revenue threshold, CAEN, shareholder tests) for the SRL.</t>
  </si>
  <si>
    <t xml:space="preserve">Micro-enterprise tax on revenue</t>
  </si>
  <si>
    <t xml:space="preserve">[TO CONFIRM] 1% vs 3% depending on CAEN code / revenue.</t>
  </si>
  <si>
    <t xml:space="preserve">Profit tax (if regime 2)</t>
  </si>
  <si>
    <t xml:space="preserve">% of profit</t>
  </si>
  <si>
    <t xml:space="preserve">Standard Romanian rate; no loss carry-forward modelled (prudent).</t>
  </si>
  <si>
    <t xml:space="preserve">Analysis settings</t>
  </si>
  <si>
    <t xml:space="preserve">Model year used for unit economics</t>
  </si>
  <si>
    <t xml:space="preserve">year</t>
  </si>
  <si>
    <t xml:space="preserve">Year 2 = first full year with the whole team; year 1 is distorted by pilot conversion.</t>
  </si>
  <si>
    <t xml:space="preserve">Scenario drivers (selected scenario, from 'Scenarios')</t>
  </si>
  <si>
    <t xml:space="preserve">Scenario in use</t>
  </si>
  <si>
    <t xml:space="preserve">Accountant practices that join the pilot</t>
  </si>
  <si>
    <t xml:space="preserve">practices</t>
  </si>
  <si>
    <t xml:space="preserve">Pilot offers 10 places, sign-up until 15 Nov 2026 (administrativo.ro/pentru-contabili). Zero signed on 6 Oct 2026 -&gt; base assumes 6. ASSUMPTION.</t>
  </si>
  <si>
    <t xml:space="preserve">Client companies per pilot practice</t>
  </si>
  <si>
    <t xml:space="preserve">firms</t>
  </si>
  <si>
    <t xml:space="preserve">Pilot allows 1-3 client companies per practice (administrativo.ro/pentru-contabili). ASSUMPTION within that range.</t>
  </si>
  <si>
    <t xml:space="preserve">Pilot company -&gt; paying customer (Apr 2027)</t>
  </si>
  <si>
    <t xml:space="preserve">Pilot is free until 31 Mar 2027 (administrativo.ro/pentru-contabili). Conversion not observed yet. ASSUMPTION.</t>
  </si>
  <si>
    <t xml:space="preserve">New accountant partners per month, year 1 (full-time partner manager)</t>
  </si>
  <si>
    <t xml:space="preserve">per month</t>
  </si>
  <si>
    <t xml:space="preserve">Signed by the partner manager from in_PartnerStart; rate for a FULL-TIME manager, scaled by in_SalesFTE while the role is part-time (until in_SalesFullStart). ASSUMPTION (~18,400 practices in RO: CECCAR 2025 report, as reported).</t>
  </si>
  <si>
    <t xml:space="preserve">New accountant partners per month, year 2</t>
  </si>
  <si>
    <t xml:space="preserve">New accountant partners per month, year 3</t>
  </si>
  <si>
    <t xml:space="preserve">Firms referred per active partner per month</t>
  </si>
  <si>
    <t xml:space="preserve">0.20 = one referral every 5 months per partner. No sourced figure for clients per accountant. ASSUMPTION.</t>
  </si>
  <si>
    <t xml:space="preserve">Referred firm -&gt; paying customer</t>
  </si>
  <si>
    <t xml:space="preserve">ASSUMPTION (warm referral by the firm's own accountant).</t>
  </si>
  <si>
    <t xml:space="preserve">Organic / SEO / direct trials per month, year 1</t>
  </si>
  <si>
    <t xml:space="preserve">trials</t>
  </si>
  <si>
    <t xml:space="preserve">Web traffic today ~7 genuine visitors/month, 201 GSC impressions since 2 Sep 2026 (pre-launch). ASSUMPTION.</t>
  </si>
  <si>
    <t xml:space="preserve">Organic / SEO / direct trials per month, year 2</t>
  </si>
  <si>
    <t xml:space="preserve">Organic / SEO / direct trials per month, year 3</t>
  </si>
  <si>
    <t xml:space="preserve">Trial -&gt; paying customer (after free month)</t>
  </si>
  <si>
    <t xml:space="preserve">First month free for every configuration (administrativo.ro price list). ASSUMPTION, no observed data.</t>
  </si>
  <si>
    <t xml:space="preserve">Paid marketing cost per trial</t>
  </si>
  <si>
    <t xml:space="preserve">Google/LinkedIn, REGES-Online keywords. ASSUMPTION.</t>
  </si>
  <si>
    <t xml:space="preserve">Monthly logo churn</t>
  </si>
  <si>
    <t xml:space="preserve">% / month</t>
  </si>
  <si>
    <t xml:space="preserve">ChartMogul median 6.1%/mo for ARPA &lt; US$25; our ARPA ~US$50 sits in a better band. 3% base / 5% conservative / 2% upside: ASSUMPTION, to be tested in the pilot.</t>
  </si>
  <si>
    <t xml:space="preserve">Annual list-price / upsell increase (from year 2)</t>
  </si>
  <si>
    <t xml:space="preserve">% / year</t>
  </si>
  <si>
    <t xml:space="preserve">Month the developer is hired</t>
  </si>
  <si>
    <t xml:space="preserve">AFTER the seed: seed raise starts at 100 paying customers (in_M100), ~5-6 months to close. Base Jan 2029; Upside Jul 2028 (100 customers sooner); Conservative Jul 2029 (seed trigger not reached - deliberately late). Not funded by the pre-seed. ASSUMPTION.</t>
  </si>
  <si>
    <t xml:space="preserve">Revenue - customers, MRR, ARR (PROJECTION, selected scenario)</t>
  </si>
  <si>
    <t xml:space="preserve">Month 1 = Jan 2027 = assumed close of the round. Zero paying customers on 6 Oct 2026. Customers are expected values (fractions allowed). EUR at in_FX RON/EUR.</t>
  </si>
  <si>
    <t xml:space="preserve">Month #</t>
  </si>
  <si>
    <t xml:space="preserve">Month</t>
  </si>
  <si>
    <t xml:space="preserve">Model year</t>
  </si>
  <si>
    <t xml:space="preserve">Acquisition channels</t>
  </si>
  <si>
    <t xml:space="preserve">Pilot companies converting to paid</t>
  </si>
  <si>
    <t xml:space="preserve">New accountant partners signed (x partner manager FTE)</t>
  </si>
  <si>
    <t xml:space="preserve">Active accountant partners (end of month)</t>
  </si>
  <si>
    <t xml:space="preserve">Firms referred by partners</t>
  </si>
  <si>
    <t xml:space="preserve">New paying customers - partner referrals (after free month)</t>
  </si>
  <si>
    <t xml:space="preserve">Organic / SEO / direct trials</t>
  </si>
  <si>
    <t xml:space="preserve">Paid-marketing trials</t>
  </si>
  <si>
    <t xml:space="preserve">New paying customers - direct (after free month)</t>
  </si>
  <si>
    <t xml:space="preserve">Customers</t>
  </si>
  <si>
    <t xml:space="preserve">New paying customers - total</t>
  </si>
  <si>
    <t xml:space="preserve">  of which via accountants (pilot + partners)</t>
  </si>
  <si>
    <t xml:space="preserve">Churned customers</t>
  </si>
  <si>
    <t xml:space="preserve">Paying customers (end of month)</t>
  </si>
  <si>
    <t xml:space="preserve">Revenue</t>
  </si>
  <si>
    <t xml:space="preserve">Blended list price</t>
  </si>
  <si>
    <t xml:space="preserve">ARPA</t>
  </si>
  <si>
    <t xml:space="preserve">MRR</t>
  </si>
  <si>
    <t xml:space="preserve">ARR (MRR x 12)</t>
  </si>
  <si>
    <t xml:space="preserve">Revenue recognised (billed monthly)</t>
  </si>
  <si>
    <t xml:space="preserve">Milestones (selected scenario)</t>
  </si>
  <si>
    <t xml:space="preserve">First month with &gt;= 30 paying customers</t>
  </si>
  <si>
    <t xml:space="preserve">month #, date (COUNTIF works because the customer curve is non-decreasing)</t>
  </si>
  <si>
    <t xml:space="preserve">First month with &gt;= 100 paying customers</t>
  </si>
  <si>
    <t xml:space="preserve">First month with &gt;= 300 paying customers</t>
  </si>
  <si>
    <t xml:space="preserve">Costs - headcount plan and operating expenses (EUR, PROJECTION)</t>
  </si>
  <si>
    <t xml:space="preserve">Salaries = gross x (1 + CAM) x (1 + raise)^(year-1). One-off items are spread evenly between their start and end month.</t>
  </si>
  <si>
    <t xml:space="preserve">Headcount (employer cost)</t>
  </si>
  <si>
    <t xml:space="preserve">Co-founder - Miroslav Maletici (role [TO CONFIRM])</t>
  </si>
  <si>
    <t xml:space="preserve">Co-founder - Răzvan Pervulescu (role [TO CONFIRM])</t>
  </si>
  <si>
    <t xml:space="preserve">Partner &amp; sales manager (accountant channel; part-time first)</t>
  </si>
  <si>
    <t xml:space="preserve">Customer onboarding &amp; support specialist (part-time first)</t>
  </si>
  <si>
    <t xml:space="preserve">Full-stack developer</t>
  </si>
  <si>
    <t xml:space="preserve">Total headcount cost</t>
  </si>
  <si>
    <t xml:space="preserve">Headcount (FTE)</t>
  </si>
  <si>
    <t xml:space="preserve">Operating expenses</t>
  </si>
  <si>
    <t xml:space="preserve">Hosting &amp; infrastructure (fixed)</t>
  </si>
  <si>
    <t xml:space="preserve">Infrastructure (variable, per customer)</t>
  </si>
  <si>
    <t xml:space="preserve">Development tools &amp; AI subscriptions</t>
  </si>
  <si>
    <t xml:space="preserve">Marketing (content, SEO, ads, materials)</t>
  </si>
  <si>
    <t xml:space="preserve">Travel &amp; accountant events</t>
  </si>
  <si>
    <t xml:space="preserve">Accountant commissions (20% x 6 months)</t>
  </si>
  <si>
    <t xml:space="preserve">Coworking (Timiș)</t>
  </si>
  <si>
    <t xml:space="preserve">Legal: round, T&amp;C, DPA, IP assignment (one-off)</t>
  </si>
  <si>
    <t xml:space="preserve">Payroll legal-value validation (one-off)</t>
  </si>
  <si>
    <t xml:space="preserve">Accessibility audit EN 301 549 (one-off)</t>
  </si>
  <si>
    <t xml:space="preserve">Penetration test (one-off)</t>
  </si>
  <si>
    <t xml:space="preserve">Total operating expenses</t>
  </si>
  <si>
    <t xml:space="preserve">Contingency</t>
  </si>
  <si>
    <t xml:space="preserve">TOTAL COSTS</t>
  </si>
  <si>
    <t xml:space="preserve">P&amp;L and cash (EUR, PROJECTION, selected scenario)</t>
  </si>
  <si>
    <t xml:space="preserve">Gross profit treats hosting, payment fees and the onboarding/support salary as cost of revenue. Break-even = first month with net cash flow &gt;= 0.</t>
  </si>
  <si>
    <t xml:space="preserve">Profit and loss</t>
  </si>
  <si>
    <t xml:space="preserve">Cost of revenue (hosting, fees, onboarding &amp; support)</t>
  </si>
  <si>
    <t xml:space="preserve">Gross profit</t>
  </si>
  <si>
    <t xml:space="preserve">Gross margin</t>
  </si>
  <si>
    <t xml:space="preserve">R&amp;D (co-founders, developer, tools)</t>
  </si>
  <si>
    <t xml:space="preserve">Sales &amp; marketing (partner manager, marketing, travel, commissions)</t>
  </si>
  <si>
    <t xml:space="preserve">G&amp;A (legal, validation, compliance, office, insurance, admin, contingency)</t>
  </si>
  <si>
    <t xml:space="preserve">EBITDA</t>
  </si>
  <si>
    <t xml:space="preserve">Check: EBITDA = revenue - total costs (should be 0)</t>
  </si>
  <si>
    <t xml:space="preserve">Tax (micro on revenue, or profit tax)</t>
  </si>
  <si>
    <t xml:space="preserve">Net result = operating cash flow</t>
  </si>
  <si>
    <t xml:space="preserve">Cash</t>
  </si>
  <si>
    <t xml:space="preserve">Opening cash</t>
  </si>
  <si>
    <t xml:space="preserve">Funding received (pre-seed round)</t>
  </si>
  <si>
    <t xml:space="preserve">Closing cash</t>
  </si>
  <si>
    <t xml:space="preserve">Cumulative total costs (for zero-revenue runway)</t>
  </si>
  <si>
    <t xml:space="preserve">Cumulative operating cash flow</t>
  </si>
  <si>
    <t xml:space="preserve">Flag: cash below zero</t>
  </si>
  <si>
    <t xml:space="preserve">1/0</t>
  </si>
  <si>
    <t xml:space="preserve">Flag: net cash flow &gt;= 0</t>
  </si>
  <si>
    <t xml:space="preserve">Closing cash - option A (VV ticket + minimum private match only)</t>
  </si>
  <si>
    <t xml:space="preserve">Flag: option A cash below zero</t>
  </si>
  <si>
    <t xml:space="preserve">Running minimum of cumulative operating cash flow (for round-size tests)</t>
  </si>
  <si>
    <t xml:space="preserve">Summary (selected scenario)</t>
  </si>
  <si>
    <t xml:space="preserve">Option A round: VV ticket + minimum private co-investment</t>
  </si>
  <si>
    <t xml:space="preserve">VV ticket alone is not allowed: VV requires &gt;=10% independent private money.</t>
  </si>
  <si>
    <t xml:space="preserve">Runway with ZERO revenue (target round)</t>
  </si>
  <si>
    <t xml:space="preserve">Months the round pays every planned cost even if no customer ever pays. Basis of the round size.</t>
  </si>
  <si>
    <t xml:space="preserve">Runway with ZERO revenue (option A)</t>
  </si>
  <si>
    <t xml:space="preserve">Runway on plan (months until cash &lt; 0)</t>
  </si>
  <si>
    <t xml:space="preserve">'&gt; 36' = cash never goes negative within the model horizon.</t>
  </si>
  <si>
    <t xml:space="preserve">Runway on plan, option A</t>
  </si>
  <si>
    <t xml:space="preserve">Break-even month (first month net cash flow &gt;= 0)</t>
  </si>
  <si>
    <t xml:space="preserve">model month #; date in next cell</t>
  </si>
  <si>
    <t xml:space="preserve">Cash low point month</t>
  </si>
  <si>
    <t xml:space="preserve">Cash low point, option A</t>
  </si>
  <si>
    <t xml:space="preserve">Cash at month 36</t>
  </si>
  <si>
    <t xml:space="preserve">Revenue, months 1-12</t>
  </si>
  <si>
    <t xml:space="preserve">Revenue, months 13-24</t>
  </si>
  <si>
    <t xml:space="preserve">Revenue, months 25-36</t>
  </si>
  <si>
    <t xml:space="preserve">Total costs, months 1-12</t>
  </si>
  <si>
    <t xml:space="preserve">Total costs, months 13-24</t>
  </si>
  <si>
    <t xml:space="preserve">Total costs, months 25-36</t>
  </si>
  <si>
    <t xml:space="preserve">Integrity check: max |EBITDA check| (must be 0)</t>
  </si>
  <si>
    <t xml:space="preserve">Unit economics (PROJECTION, selected scenario, model year in_UEYear)</t>
  </si>
  <si>
    <t xml:space="preserve">Computed over one model year (default year 2 = Jan-Dec 2028). Benchmarks: ChartMogul (churn) and Aleph (CAC payback, secondary); URLs on sheet Sources.</t>
  </si>
  <si>
    <t xml:space="preserve">Metric</t>
  </si>
  <si>
    <t xml:space="preserve">Definition / benchmark</t>
  </si>
  <si>
    <t xml:space="preserve">Revenue in the year</t>
  </si>
  <si>
    <t xml:space="preserve">Customer-months in the year</t>
  </si>
  <si>
    <t xml:space="preserve">sum of end-of-month paying customers</t>
  </si>
  <si>
    <t xml:space="preserve">ARPA (average revenue per account)</t>
  </si>
  <si>
    <t xml:space="preserve">EUR per paying company per month (flat price per company, not per employee)</t>
  </si>
  <si>
    <t xml:space="preserve">Variable cost per customer</t>
  </si>
  <si>
    <t xml:space="preserve">variable infrastructure + payment fees</t>
  </si>
  <si>
    <t xml:space="preserve">Contribution margin (per-customer gross margin)</t>
  </si>
  <si>
    <t xml:space="preserve">Gross margin used in LTV. Excludes fixed hosting and support salary.</t>
  </si>
  <si>
    <t xml:space="preserve">Gross margin, P&amp;L basis</t>
  </si>
  <si>
    <t xml:space="preserve">After fixed hosting and the onboarding/support salary - low while the base is small.</t>
  </si>
  <si>
    <t xml:space="preserve">Sales &amp; marketing spend in the year</t>
  </si>
  <si>
    <t xml:space="preserve">partner manager + marketing + travel + accountant commissions</t>
  </si>
  <si>
    <t xml:space="preserve">New paying customers in the year</t>
  </si>
  <si>
    <t xml:space="preserve">Blended CAC</t>
  </si>
  <si>
    <t xml:space="preserve">S&amp;M spend / new paying customers (fully loaded, incl. salary)</t>
  </si>
  <si>
    <t xml:space="preserve">Paid-ads CAC (media only)</t>
  </si>
  <si>
    <t xml:space="preserve">cost per trial / trial conversion</t>
  </si>
  <si>
    <t xml:space="preserve">Benchmark: ChartMogul median 6.1%/month for ARPA &lt; US$25</t>
  </si>
  <si>
    <t xml:space="preserve">Expected customer lifetime</t>
  </si>
  <si>
    <t xml:space="preserve">1 / churn</t>
  </si>
  <si>
    <t xml:space="preserve">LTV (contribution basis)</t>
  </si>
  <si>
    <t xml:space="preserve">ARPA x contribution margin / churn</t>
  </si>
  <si>
    <t xml:space="preserve">LTV / CAC</t>
  </si>
  <si>
    <t xml:space="preserve">&gt; 3x usually considered healthy</t>
  </si>
  <si>
    <t xml:space="preserve">CAC payback</t>
  </si>
  <si>
    <t xml:space="preserve">Benchmark SMB SaaS: median ~11 months, healthy 6-14; 3-9 typical below US$5k ACV, so ours is above that (Aleph, secondary source)</t>
  </si>
  <si>
    <t xml:space="preserve">Scenarios - key growth drivers</t>
  </si>
  <si>
    <t xml:space="preserve">Blue = input. The scenario in use is chosen on Cover!C8 (1 Base, 2 Conservative, 3 Upside); Assumptions picks the matching column with INDEX. All values are ASSUMPTIONS / PROJECTIONS.</t>
  </si>
  <si>
    <t xml:space="preserve">Base</t>
  </si>
  <si>
    <t xml:space="preserve">Conservative</t>
  </si>
  <si>
    <t xml:space="preserve">Upside</t>
  </si>
  <si>
    <t xml:space="preserve">Note / source</t>
  </si>
  <si>
    <t xml:space="preserve">Scenario results snapshot (PROJECTION)</t>
  </si>
  <si>
    <t xml:space="preserve">Values below were produced by recalculating this workbook once per scenario (model/build_model.py + model/recalc.sh) and pasted as values so that a reader can compare scenarios without switching. Live values for the selected scenario: 'P&amp;L &amp; Cash' and Cover.</t>
  </si>
  <si>
    <t xml:space="preserve">Output</t>
  </si>
  <si>
    <t xml:space="preserve">Paying customers, month 12 (Dec 2027)</t>
  </si>
  <si>
    <t xml:space="preserve">MRR, month 12</t>
  </si>
  <si>
    <t xml:space="preserve">Paying customers, month 24 (Dec 2028)</t>
  </si>
  <si>
    <t xml:space="preserve">MRR, month 24</t>
  </si>
  <si>
    <t xml:space="preserve">Paying customers, month 36 (Dec 2029)</t>
  </si>
  <si>
    <t xml:space="preserve">MRR, month 36</t>
  </si>
  <si>
    <t xml:space="preserve">ARR, month 36</t>
  </si>
  <si>
    <t xml:space="preserve">not within 36 months</t>
  </si>
  <si>
    <t xml:space="preserve">Month reaching 30 paying customers</t>
  </si>
  <si>
    <t xml:space="preserve">Month reaching 100 paying customers</t>
  </si>
  <si>
    <t xml:space="preserve">Month reaching 300 paying customers</t>
  </si>
  <si>
    <t xml:space="preserve">Use of funds - pre-seed round</t>
  </si>
  <si>
    <t xml:space="preserve">Split = share of each category in planned spend over the zero-revenue runway (the months the round alone pays for), applied to the round. Revenue earned in that period extends the runway further.</t>
  </si>
  <si>
    <t xml:space="preserve">Spend horizon = zero-revenue runway</t>
  </si>
  <si>
    <t xml:space="preserve">  ending in</t>
  </si>
  <si>
    <t xml:space="preserve">Category</t>
  </si>
  <si>
    <t xml:space="preserve">Planned spend in horizon</t>
  </si>
  <si>
    <t xml:space="preserve">Allocated from round</t>
  </si>
  <si>
    <t xml:space="preserve">What it buys</t>
  </si>
  <si>
    <t xml:space="preserve">Product &amp; engineering (2 co-founders full time)</t>
  </si>
  <si>
    <t xml:space="preserve">Both co-founders full time on lean salaries; the developer is hired after the seed (in_DevStart), outside this horizon in the base case. REGES-Online, payroll validation fixes, billing, mobile store release.</t>
  </si>
  <si>
    <t xml:space="preserve">Accountant channel &amp; sales (partner manager, travel, commissions)</t>
  </si>
  <si>
    <t xml:space="preserve">Partner manager (half time in year 1, full time from in_SalesFullStart) signing accounting practices; 20% x 6-month commissions.</t>
  </si>
  <si>
    <t xml:space="preserve">Customer onboarding &amp; support</t>
  </si>
  <si>
    <t xml:space="preserve">Half-time specialist from in_SupportStart: employee import, company setup and accounting mapping for each new firm.</t>
  </si>
  <si>
    <t xml:space="preserve">Marketing (content, SEO, performance ads)</t>
  </si>
  <si>
    <t xml:space="preserve">REGES-Online / timesheet keywords; accountant materials.</t>
  </si>
  <si>
    <t xml:space="preserve">Legal, payroll validation, compliance &amp; security</t>
  </si>
  <si>
    <t xml:space="preserve">Round documents, DPA, payroll legal values validated, EN 301 549 accessibility audit, pentest, liability insurance.</t>
  </si>
  <si>
    <t xml:space="preserve">Infrastructure &amp; tools</t>
  </si>
  <si>
    <t xml:space="preserve">Hosting, separate production database, AI/dev tools, payment fees.</t>
  </si>
  <si>
    <t xml:space="preserve">Operations &amp; contingency</t>
  </si>
  <si>
    <t xml:space="preserve">Coworking in Timiș, bookkeeping, 5% contingency.</t>
  </si>
  <si>
    <t xml:space="preserve">Total</t>
  </si>
  <si>
    <t xml:space="preserve">Round size test (selected scenario; same pre-money valuation)</t>
  </si>
  <si>
    <t xml:space="preserve">Round size tested</t>
  </si>
  <si>
    <t xml:space="preserve">Runway, zero revenue</t>
  </si>
  <si>
    <t xml:space="preserve">Dilution at this pre-money</t>
  </si>
  <si>
    <t xml:space="preserve">VV ticket alone (not allowed without private match)</t>
  </si>
  <si>
    <t xml:space="preserve">Proposed round</t>
  </si>
  <si>
    <t xml:space="preserve">VV maximum ticket + minimum 10% private match</t>
  </si>
  <si>
    <t xml:space="preserve">Larger round (more angels)</t>
  </si>
  <si>
    <t xml:space="preserve">Upper end of founders' range</t>
  </si>
  <si>
    <t xml:space="preserve">All rows use the same (lean) cost plan and the selected scenario. Runway on plan assumes the money arrives in model month 1 (running minimum of cumulative operating cash flow). Dilution shown for the same pre-money; a different round size would be negotiated at a different valuation.</t>
  </si>
  <si>
    <t xml:space="preserve">Why this round size</t>
  </si>
  <si>
    <t xml:space="preserve">Cap table - today and after the pre-seed round (fully diluted)</t>
  </si>
  <si>
    <t xml:space="preserve">Today: SRL, 2 co-founders, no investors, no options (founders' statement). Units below are NOTIONAL (10,000 = 100%); the SRL's real number of social parts is [TO CONFIRM]. Instrument: Vest Ventures templates are a CLA or an SHA (vestventures.vc/en/programs-terms); modelled as priced equity at the pre-money valuation.</t>
  </si>
  <si>
    <t xml:space="preserve">Pre-money valuation (fully diluted)</t>
  </si>
  <si>
    <t xml:space="preserve">Post-money valuation</t>
  </si>
  <si>
    <t xml:space="preserve">ESOP pool, % post-money (created pre-money)</t>
  </si>
  <si>
    <t xml:space="preserve">Founders' units today (notional)</t>
  </si>
  <si>
    <t xml:space="preserve">Fully diluted units post-money</t>
  </si>
  <si>
    <t xml:space="preserve">Price per unit (pre-money / pre-money FD units)</t>
  </si>
  <si>
    <t xml:space="preserve">Holder</t>
  </si>
  <si>
    <t xml:space="preserve">Today - units</t>
  </si>
  <si>
    <t xml:space="preserve">Today - %</t>
  </si>
  <si>
    <t xml:space="preserve">Pre-seed - units</t>
  </si>
  <si>
    <t xml:space="preserve">Pre-seed - %</t>
  </si>
  <si>
    <t xml:space="preserve">Invested (EUR)</t>
  </si>
  <si>
    <t xml:space="preserve">Miroslav Maletici (co-founder)</t>
  </si>
  <si>
    <t xml:space="preserve">Răzvan Pervulescu (co-founder)</t>
  </si>
  <si>
    <t xml:space="preserve">ESOP pool (unallocated)</t>
  </si>
  <si>
    <t xml:space="preserve">Vest Ventures (accelerator ticket)</t>
  </si>
  <si>
    <t xml:space="preserve">Independent angels</t>
  </si>
  <si>
    <t xml:space="preserve">Check: post-money of the round at unit price (must equal post-money)</t>
  </si>
  <si>
    <t xml:space="preserve">Convertible alternative (CLA / SAFE-like): Vest Ventures' default instruments are a convertible loan agreement or an SHA.</t>
  </si>
  <si>
    <t xml:space="preserve">A CLA would carry a valuation cap equal to the pre-money above and a discount (e.g. 20%) to the next priced round; the CLA conversion math is on cap-table.xlsx, sheet 'CLA alternative'.</t>
  </si>
  <si>
    <t xml:space="preserve">SRL caveat: changing an SRL's articles needs every associate's vote (Companies Law 31/1990, art. 192); conversion SRL -&gt; SA or a holding at the round is [TO CONFIRM] with a lawyer. An ESOP in an SRL is usually a virtual / phantom scheme until then.</t>
  </si>
  <si>
    <t xml:space="preserve">Sources</t>
  </si>
  <si>
    <t xml:space="preserve">What</t>
  </si>
  <si>
    <t xml:space="preserve">Source</t>
  </si>
  <si>
    <t xml:space="preserve">Pricing, modules, accountant pilot, zero customers</t>
  </si>
  <si>
    <t xml:space="preserve">https://administrativo.ro/en/preturi ; https://administrativo.ro/pentru-contabili ; product code and founders' statement (zero paying customers on 6 Oct 2026)</t>
  </si>
  <si>
    <t xml:space="preserve">Monthly churn benchmark 6.1% (ARPA &lt; US$25)</t>
  </si>
  <si>
    <t xml:space="preserve">ChartMogul - https://chartmogul.com/blog/good-customer-churn-rate/</t>
  </si>
  <si>
    <t xml:space="preserve">SMB CAC payback ~11 months median, 6-14 healthy; 3-9 typical below US$5k ACV</t>
  </si>
  <si>
    <t xml:space="preserve">Aleph - https://www.getaleph.com/answers/cac-payback-period-saas-2026 (secondary)</t>
  </si>
  <si>
    <t xml:space="preserve">Romania 2025: EUR 103M VC in 40 deals; avg pre-seed EUR 526k; avg seed EUR 1.5M</t>
  </si>
  <si>
    <t xml:space="preserve">How to Web &amp; Underline Ventures via Romania Insider - https://www.romania-insider.com/romanian-startups-funding-2025</t>
  </si>
  <si>
    <t xml:space="preserve">Vest Ventures stages, tickets (Accelerator EUR 10k-200k, &gt;=10% private co-investment), instruments (CLA/SHA)</t>
  </si>
  <si>
    <t xml:space="preserve">https://vestventures.vc/en/stages-accelerator ; https://vestventures.vc/en/programs-terms ; https://vestventures.vc/en/faq</t>
  </si>
  <si>
    <t xml:space="preserve">Employers with &gt;=1 employee: ~526,000 (FY2025)</t>
  </si>
  <si>
    <t xml:space="preserve">ICAP CRIF via Curierul Național - https://curierulnational.ro/peste-jumatate-de-milion-de-firme-aveau-388-milioane-salariati-in-2025/</t>
  </si>
  <si>
    <t xml:space="preserve">Enterprises by size class (Eurostat SBS 2023)</t>
  </si>
  <si>
    <t xml:space="preserve">https://ec.europa.eu/eurostat/databrowser/view/sbs_sc_ovw/default/table</t>
  </si>
  <si>
    <t xml:space="preserve">Accounting practices ~18,400 (DERIVED: 12,776 firms + 5,671 individuals, CECCAR 31 Dec 2024)</t>
  </si>
  <si>
    <t xml:space="preserve">https://ceccar.ro/ro/wp-content/uploads/2025/08/PDF-Raport-CECCAR-2025-evaluare-risc-spalarea-banilor.pdf (search excerpt; PDF to open by hand)</t>
  </si>
  <si>
    <t xml:space="preserve">Internal cost estimates (legal, insurance, infra, tools, payroll validation EUR 8k, pentest EUR 6k)</t>
  </si>
  <si>
    <t xml:space="preserve">Founders' internal cost estimates (not externally sourced)</t>
  </si>
  <si>
    <t xml:space="preserve">Payroll legal values to be confirmed (incl. CAM)</t>
  </si>
  <si>
    <t xml:space="preserve">Product documentation: every payroll legal value is marked for accountant validation</t>
  </si>
  <si>
    <t xml:space="preserve">Salaries, conversion rates, partner productivity, plan mix, marketing budgets</t>
  </si>
  <si>
    <t xml:space="preserve">ASSUMPTIONS by the founders' model - no external source; see Assumptions!D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</si>
</sst>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General"/>
    <numFmt numFmtId="166" formatCode="\€#,##0;&quot;(€&quot;#,##0\);\-"/>
    <numFmt numFmtId="167" formatCode="0.0%;\(0.0%\);\-"/>
    <numFmt numFmtId="168" formatCode="mmm\ yyyy"/>
    <numFmt numFmtId="169" formatCode="0&quot; mo&quot;"/>
    <numFmt numFmtId="170" formatCode="#,##0;\(#,##0\);\-"/>
    <numFmt numFmtId="171" formatCode="0.00"/>
    <numFmt numFmtId="172" formatCode="#,##0&quot; RON&quot;;\(#,##0&quot; RON)&quot;;\-"/>
    <numFmt numFmtId="173" formatCode="#,##0.0&quot; RON&quot;"/>
    <numFmt numFmtId="174" formatCode="\€#,##0.00;&quot;(€&quot;#,##0.00\);\-"/>
    <numFmt numFmtId="175" formatCode="#,##0.0;\(#,##0.0\);\-"/>
    <numFmt numFmtId="176" formatCode="mmm\ yy"/>
    <numFmt numFmtId="177" formatCode="#,##0.0"/>
    <numFmt numFmtId="178" formatCode="0.0\x"/>
    <numFmt numFmtId="179" formatCode="0.0&quot; mo&quot;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8"/>
    <col collapsed="false" customWidth="true" hidden="false" outlineLevel="0" max="3" min="3" style="0" width="2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"/>
      <c r="B1" s="1"/>
      <c r="C1" s="1"/>
      <c r="D1" s="1"/>
    </row>
    <row r="2" customFormat="false" ht="15" hidden="false" customHeight="false" outlineLevel="0" collapsed="false">
      <c r="A2" s="1"/>
      <c r="B2" s="2" t="s">
        <v>0</v>
      </c>
      <c r="C2" s="1"/>
      <c r="D2" s="1"/>
    </row>
    <row r="3" customFormat="false" ht="15" hidden="false" customHeight="false" outlineLevel="0" collapsed="false">
      <c r="A3" s="1"/>
      <c r="B3" s="1" t="s">
        <v>1</v>
      </c>
      <c r="C3" s="1"/>
      <c r="D3" s="1"/>
    </row>
    <row r="4" customFormat="false" ht="15" hidden="false" customHeight="false" outlineLevel="0" collapsed="false">
      <c r="A4" s="1"/>
      <c r="B4" s="1" t="s">
        <v>2</v>
      </c>
      <c r="C4" s="1" t="s">
        <v>3</v>
      </c>
      <c r="D4" s="1"/>
    </row>
    <row r="5" customFormat="false" ht="15" hidden="false" customHeight="false" outlineLevel="0" collapsed="false">
      <c r="A5" s="1"/>
      <c r="B5" s="1" t="s">
        <v>4</v>
      </c>
      <c r="C5" s="1" t="s">
        <v>5</v>
      </c>
      <c r="D5" s="1"/>
    </row>
    <row r="6" customFormat="false" ht="15" hidden="false" customHeight="false" outlineLevel="0" collapsed="false">
      <c r="A6" s="1"/>
      <c r="B6" s="1" t="s">
        <v>6</v>
      </c>
      <c r="C6" s="1" t="s">
        <v>7</v>
      </c>
      <c r="D6" s="1"/>
    </row>
    <row r="7" customFormat="false" ht="15" hidden="false" customHeight="false" outlineLevel="0" collapsed="false">
      <c r="A7" s="1"/>
      <c r="B7" s="1"/>
      <c r="C7" s="1"/>
      <c r="D7" s="1"/>
    </row>
    <row r="8" customFormat="false" ht="15" hidden="false" customHeight="false" outlineLevel="0" collapsed="false">
      <c r="A8" s="1"/>
      <c r="B8" s="3" t="s">
        <v>8</v>
      </c>
      <c r="C8" s="4" t="n">
        <v>1</v>
      </c>
      <c r="D8" s="5" t="str">
        <f aca="false">INDEX(Scenarios!$C$4:$E$4,1,C8)</f>
        <v>Base</v>
      </c>
    </row>
    <row r="9" customFormat="false" ht="15" hidden="false" customHeight="false" outlineLevel="0" collapsed="false">
      <c r="A9" s="1"/>
      <c r="B9" s="1"/>
      <c r="C9" s="1"/>
      <c r="D9" s="1"/>
    </row>
    <row r="10" customFormat="false" ht="15" hidden="false" customHeight="false" outlineLevel="0" collapsed="false">
      <c r="A10" s="1"/>
      <c r="B10" s="3" t="s">
        <v>9</v>
      </c>
      <c r="C10" s="1"/>
      <c r="D10" s="1"/>
    </row>
    <row r="11" customFormat="false" ht="15" hidden="false" customHeight="false" outlineLevel="0" collapsed="false">
      <c r="A11" s="1"/>
      <c r="B11" s="1" t="s">
        <v>10</v>
      </c>
      <c r="C11" s="6" t="n">
        <f aca="false">in_Round</f>
        <v>150000</v>
      </c>
      <c r="D11" s="1"/>
    </row>
    <row r="12" customFormat="false" ht="15" hidden="false" customHeight="false" outlineLevel="0" collapsed="false">
      <c r="A12" s="1"/>
      <c r="B12" s="1" t="s">
        <v>11</v>
      </c>
      <c r="C12" s="5" t="str">
        <f aca="false">"€"&amp;TEXT(in_PreMoney,"#,##0")&amp;" / €"&amp;TEXT(in_PostMoney,"#,##0")</f>
        <v>€1,250,000 / €1,400,000</v>
      </c>
      <c r="D12" s="1"/>
    </row>
    <row r="13" customFormat="false" ht="15" hidden="false" customHeight="false" outlineLevel="0" collapsed="false">
      <c r="A13" s="1"/>
      <c r="B13" s="1" t="s">
        <v>12</v>
      </c>
      <c r="C13" s="7" t="n">
        <f aca="false">in_InvPct</f>
        <v>0.107142857142857</v>
      </c>
      <c r="D13" s="1"/>
    </row>
    <row r="14" customFormat="false" ht="15" hidden="false" customHeight="false" outlineLevel="0" collapsed="false">
      <c r="A14" s="1"/>
      <c r="B14" s="1" t="s">
        <v>13</v>
      </c>
      <c r="C14" s="8" t="n">
        <f aca="false">in_StartDate</f>
        <v>46388</v>
      </c>
      <c r="D14" s="1"/>
    </row>
    <row r="15" customFormat="false" ht="15" hidden="false" customHeight="false" outlineLevel="0" collapsed="false">
      <c r="A15" s="1"/>
      <c r="B15" s="1" t="s">
        <v>14</v>
      </c>
      <c r="C15" s="9" t="n">
        <f aca="false">in_RunwayZeroRev</f>
        <v>16</v>
      </c>
      <c r="D15" s="1"/>
    </row>
    <row r="16" customFormat="false" ht="15" hidden="false" customHeight="false" outlineLevel="0" collapsed="false">
      <c r="A16" s="1"/>
      <c r="B16" s="1" t="s">
        <v>15</v>
      </c>
      <c r="C16" s="9" t="n">
        <f aca="false">in_RunwayPlan</f>
        <v>24</v>
      </c>
      <c r="D16" s="1"/>
    </row>
    <row r="17" customFormat="false" ht="15" hidden="false" customHeight="false" outlineLevel="0" collapsed="false">
      <c r="A17" s="1"/>
      <c r="B17" s="1" t="s">
        <v>16</v>
      </c>
      <c r="C17" s="5" t="str">
        <f aca="false">TEXT(Revenue!N21,"0")&amp;" / "&amp;TEXT(Revenue!Z21,"0")&amp;" / "&amp;TEXT(Revenue!AL21,"0")</f>
        <v>47 / 139 / 284</v>
      </c>
      <c r="D17" s="1"/>
    </row>
    <row r="18" customFormat="false" ht="15" hidden="false" customHeight="false" outlineLevel="0" collapsed="false">
      <c r="A18" s="1"/>
      <c r="B18" s="1" t="s">
        <v>17</v>
      </c>
      <c r="C18" s="6" t="n">
        <f aca="false">Revenue!N26</f>
        <v>2254.40268762505</v>
      </c>
      <c r="D18" s="1"/>
    </row>
    <row r="19" customFormat="false" ht="15" hidden="false" customHeight="false" outlineLevel="0" collapsed="false">
      <c r="A19" s="1"/>
      <c r="B19" s="1" t="s">
        <v>18</v>
      </c>
      <c r="C19" s="6" t="n">
        <f aca="false">Revenue!Z26</f>
        <v>6941.1858073507</v>
      </c>
      <c r="D19" s="1"/>
    </row>
    <row r="20" customFormat="false" ht="15" hidden="false" customHeight="false" outlineLevel="0" collapsed="false">
      <c r="A20" s="1"/>
      <c r="B20" s="1" t="s">
        <v>19</v>
      </c>
      <c r="C20" s="6" t="n">
        <f aca="false">Revenue!AL26</f>
        <v>14880.5751581885</v>
      </c>
      <c r="D20" s="1"/>
    </row>
    <row r="21" customFormat="false" ht="15" hidden="false" customHeight="false" outlineLevel="0" collapsed="false">
      <c r="A21" s="1"/>
      <c r="B21" s="1" t="s">
        <v>20</v>
      </c>
      <c r="C21" s="6" t="n">
        <f aca="false">Revenue!AL27</f>
        <v>178566.901898262</v>
      </c>
      <c r="D21" s="1"/>
    </row>
    <row r="22" customFormat="false" ht="15" hidden="false" customHeight="false" outlineLevel="0" collapsed="false">
      <c r="A22" s="1"/>
      <c r="B22" s="1" t="s">
        <v>21</v>
      </c>
      <c r="C22" s="10" t="str">
        <f aca="false">in_Breakeven</f>
        <v>not within 36 months</v>
      </c>
      <c r="D22" s="1"/>
    </row>
    <row r="23" customFormat="false" ht="15" hidden="false" customHeight="false" outlineLevel="0" collapsed="false">
      <c r="A23" s="1"/>
      <c r="B23" s="1" t="s">
        <v>22</v>
      </c>
      <c r="C23" s="6" t="n">
        <f aca="false">in_CashLow</f>
        <v>-50706.4011609057</v>
      </c>
      <c r="D23" s="1"/>
    </row>
    <row r="24" customFormat="false" ht="15" hidden="false" customHeight="false" outlineLevel="0" collapsed="false">
      <c r="A24" s="1"/>
      <c r="B24" s="1" t="s">
        <v>23</v>
      </c>
      <c r="C24" s="5" t="str">
        <f aca="false">in_M30&amp;" / "&amp;in_M100&amp;" / "&amp;in_M300</f>
        <v>8 / 20 / not within 36 months</v>
      </c>
      <c r="D24" s="1"/>
    </row>
    <row r="25" customFormat="false" ht="15" hidden="false" customHeight="false" outlineLevel="0" collapsed="false">
      <c r="A25" s="1"/>
      <c r="B25" s="1" t="s">
        <v>24</v>
      </c>
      <c r="C25" s="5" t="str">
        <f aca="false">"€"&amp;TEXT(in_ARPA,"0")&amp;" / €"&amp;TEXT(in_LTV,"#,##0")&amp;" / €"&amp;TEXT(in_CAC,"#,##0")</f>
        <v>€50 / €1,583 / €497</v>
      </c>
      <c r="D25" s="1"/>
    </row>
    <row r="26" customFormat="false" ht="15" hidden="false" customHeight="false" outlineLevel="0" collapsed="false">
      <c r="A26" s="1"/>
      <c r="B26" s="1" t="s">
        <v>25</v>
      </c>
      <c r="C26" s="5" t="str">
        <f aca="false">TEXT(in_LTVCAC,"0.0")&amp;"x, "&amp;TEXT(in_Payback,"0.0")&amp;" months"</f>
        <v>3.2x, 10.5 months</v>
      </c>
      <c r="D26" s="1"/>
    </row>
    <row r="27" customFormat="false" ht="15" hidden="false" customHeight="false" outlineLevel="0" collapsed="false">
      <c r="A27" s="1"/>
      <c r="B27" s="1" t="s">
        <v>26</v>
      </c>
      <c r="C27" s="5" t="str">
        <f aca="false">IF(AND(ROUND(in_MixCheck,6)=1,in_MaxCheck=0),"OK","CHECK")</f>
        <v>OK</v>
      </c>
      <c r="D27" s="1"/>
    </row>
    <row r="28" customFormat="false" ht="15" hidden="false" customHeight="false" outlineLevel="0" collapsed="false">
      <c r="A28" s="1"/>
      <c r="B28" s="1"/>
      <c r="C28" s="1"/>
      <c r="D28" s="1"/>
    </row>
    <row r="29" customFormat="false" ht="15" hidden="false" customHeight="false" outlineLevel="0" collapsed="false">
      <c r="A29" s="1"/>
      <c r="B29" s="3" t="s">
        <v>27</v>
      </c>
      <c r="C29" s="1"/>
      <c r="D29" s="1"/>
    </row>
    <row r="30" customFormat="false" ht="15" hidden="false" customHeight="false" outlineLevel="0" collapsed="false">
      <c r="A30" s="1"/>
      <c r="B30" s="11" t="s">
        <v>28</v>
      </c>
      <c r="C30" s="1" t="s">
        <v>29</v>
      </c>
      <c r="D30" s="1"/>
    </row>
    <row r="31" customFormat="false" ht="15" hidden="false" customHeight="false" outlineLevel="0" collapsed="false">
      <c r="A31" s="1"/>
      <c r="B31" s="5" t="s">
        <v>30</v>
      </c>
      <c r="C31" s="1" t="s">
        <v>31</v>
      </c>
      <c r="D31" s="1"/>
    </row>
    <row r="32" customFormat="false" ht="15" hidden="false" customHeight="false" outlineLevel="0" collapsed="false">
      <c r="A32" s="1"/>
      <c r="B32" s="1" t="s">
        <v>32</v>
      </c>
      <c r="C32" s="1" t="s">
        <v>33</v>
      </c>
      <c r="D32" s="1"/>
    </row>
    <row r="33" customFormat="false" ht="15" hidden="false" customHeight="false" outlineLevel="0" collapsed="false">
      <c r="A33" s="1"/>
      <c r="B33" s="12" t="s">
        <v>34</v>
      </c>
      <c r="C33" s="1" t="s">
        <v>35</v>
      </c>
      <c r="D33" s="1"/>
    </row>
    <row r="34" customFormat="false" ht="15" hidden="false" customHeight="false" outlineLevel="0" collapsed="false">
      <c r="A34" s="1"/>
      <c r="B34" s="1"/>
      <c r="C34" s="1"/>
      <c r="D34" s="1"/>
    </row>
    <row r="35" customFormat="false" ht="15" hidden="false" customHeight="false" outlineLevel="0" collapsed="false">
      <c r="A35" s="1"/>
      <c r="B35" s="3" t="s">
        <v>36</v>
      </c>
      <c r="C35" s="1"/>
      <c r="D35" s="1"/>
    </row>
    <row r="36" customFormat="false" ht="15" hidden="false" customHeight="false" outlineLevel="0" collapsed="false">
      <c r="A36" s="1"/>
      <c r="B36" s="13" t="s">
        <v>37</v>
      </c>
      <c r="C36" s="1"/>
      <c r="D36" s="1"/>
    </row>
    <row r="37" customFormat="false" ht="15" hidden="false" customHeight="false" outlineLevel="0" collapsed="false">
      <c r="A37" s="1"/>
      <c r="B37" s="13" t="s">
        <v>38</v>
      </c>
      <c r="C37" s="1"/>
      <c r="D37" s="1"/>
    </row>
    <row r="38" customFormat="false" ht="15" hidden="false" customHeight="false" outlineLevel="0" collapsed="false">
      <c r="A38" s="1"/>
      <c r="B38" s="13" t="s">
        <v>39</v>
      </c>
      <c r="C38" s="1"/>
      <c r="D38" s="1"/>
    </row>
    <row r="39" customFormat="false" ht="15" hidden="false" customHeight="false" outlineLevel="0" collapsed="false">
      <c r="A39" s="1"/>
      <c r="B39" s="13" t="s">
        <v>40</v>
      </c>
      <c r="C39" s="1"/>
      <c r="D39" s="1"/>
    </row>
    <row r="40" customFormat="false" ht="15" hidden="false" customHeight="false" outlineLevel="0" collapsed="false">
      <c r="A40" s="1"/>
      <c r="B40" s="13" t="s">
        <v>41</v>
      </c>
      <c r="C40" s="1"/>
      <c r="D40" s="1"/>
    </row>
    <row r="41" customFormat="false" ht="15" hidden="false" customHeight="false" outlineLevel="0" collapsed="false">
      <c r="A41" s="1"/>
      <c r="B41" s="13" t="s">
        <v>42</v>
      </c>
      <c r="C41" s="1"/>
      <c r="D41" s="1"/>
    </row>
    <row r="42" customFormat="false" ht="15" hidden="false" customHeight="false" outlineLevel="0" collapsed="false">
      <c r="A42" s="1"/>
      <c r="B42" s="13" t="s">
        <v>43</v>
      </c>
      <c r="C42" s="1"/>
      <c r="D42" s="1"/>
    </row>
    <row r="43" customFormat="false" ht="15" hidden="false" customHeight="false" outlineLevel="0" collapsed="false">
      <c r="A43" s="1"/>
      <c r="B43" s="13" t="s">
        <v>44</v>
      </c>
      <c r="C43" s="1"/>
      <c r="D4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16"/>
    <col collapsed="false" customWidth="true" hidden="false" outlineLevel="0" max="4" min="4" style="0" width="110"/>
  </cols>
  <sheetData>
    <row r="1" customFormat="false" ht="15" hidden="false" customHeight="false" outlineLevel="0" collapsed="false">
      <c r="A1" s="2" t="s">
        <v>45</v>
      </c>
      <c r="B1" s="1"/>
      <c r="C1" s="1"/>
      <c r="D1" s="1"/>
    </row>
    <row r="2" customFormat="false" ht="15" hidden="false" customHeight="false" outlineLevel="0" collapsed="false">
      <c r="A2" s="13" t="s">
        <v>46</v>
      </c>
      <c r="B2" s="1"/>
      <c r="C2" s="1"/>
      <c r="D2" s="1"/>
    </row>
    <row r="3" customFormat="false" ht="15" hidden="false" customHeight="false" outlineLevel="0" collapsed="false">
      <c r="A3" s="1"/>
      <c r="B3" s="1"/>
      <c r="C3" s="1"/>
      <c r="D3" s="1"/>
    </row>
    <row r="4" customFormat="false" ht="15" hidden="false" customHeight="false" outlineLevel="0" collapsed="false">
      <c r="A4" s="14" t="s">
        <v>47</v>
      </c>
      <c r="B4" s="14" t="s">
        <v>48</v>
      </c>
      <c r="C4" s="14" t="s">
        <v>49</v>
      </c>
      <c r="D4" s="14" t="s">
        <v>50</v>
      </c>
    </row>
    <row r="5" customFormat="false" ht="15" hidden="false" customHeight="false" outlineLevel="0" collapsed="false">
      <c r="A5" s="1"/>
      <c r="B5" s="1"/>
      <c r="C5" s="1"/>
      <c r="D5" s="1"/>
    </row>
    <row r="6" customFormat="false" ht="15" hidden="false" customHeight="false" outlineLevel="0" collapsed="false">
      <c r="A6" s="15" t="s">
        <v>51</v>
      </c>
      <c r="B6" s="16"/>
      <c r="C6" s="16"/>
      <c r="D6" s="16"/>
    </row>
    <row r="7" customFormat="false" ht="15" hidden="false" customHeight="false" outlineLevel="0" collapsed="false">
      <c r="A7" s="1" t="s">
        <v>52</v>
      </c>
      <c r="B7" s="17" t="n">
        <v>5</v>
      </c>
      <c r="C7" s="1" t="s">
        <v>53</v>
      </c>
      <c r="D7" s="13" t="s">
        <v>54</v>
      </c>
    </row>
    <row r="8" customFormat="false" ht="15" hidden="false" customHeight="false" outlineLevel="0" collapsed="false">
      <c r="A8" s="1" t="s">
        <v>55</v>
      </c>
      <c r="B8" s="18" t="n">
        <v>46388</v>
      </c>
      <c r="C8" s="1" t="s">
        <v>56</v>
      </c>
      <c r="D8" s="13" t="s">
        <v>57</v>
      </c>
    </row>
    <row r="9" customFormat="false" ht="15" hidden="false" customHeight="false" outlineLevel="0" collapsed="false">
      <c r="A9" s="1" t="s">
        <v>58</v>
      </c>
      <c r="B9" s="19" t="n">
        <v>1</v>
      </c>
      <c r="C9" s="1" t="s">
        <v>59</v>
      </c>
      <c r="D9" s="13" t="s">
        <v>60</v>
      </c>
    </row>
    <row r="10" customFormat="false" ht="15" hidden="false" customHeight="false" outlineLevel="0" collapsed="false">
      <c r="A10" s="1" t="s">
        <v>61</v>
      </c>
      <c r="B10" s="20" t="n">
        <v>0</v>
      </c>
      <c r="C10" s="1" t="s">
        <v>62</v>
      </c>
      <c r="D10" s="13" t="s">
        <v>63</v>
      </c>
    </row>
    <row r="11" customFormat="false" ht="15" hidden="false" customHeight="false" outlineLevel="0" collapsed="false">
      <c r="A11" s="1"/>
      <c r="B11" s="1"/>
      <c r="C11" s="1"/>
      <c r="D11" s="1"/>
    </row>
    <row r="12" customFormat="false" ht="15" hidden="false" customHeight="false" outlineLevel="0" collapsed="false">
      <c r="A12" s="15" t="s">
        <v>64</v>
      </c>
      <c r="B12" s="16"/>
      <c r="C12" s="16"/>
      <c r="D12" s="16"/>
    </row>
    <row r="13" customFormat="false" ht="15" hidden="false" customHeight="false" outlineLevel="0" collapsed="false">
      <c r="A13" s="1" t="s">
        <v>65</v>
      </c>
      <c r="B13" s="21" t="n">
        <v>135000</v>
      </c>
      <c r="C13" s="1" t="s">
        <v>62</v>
      </c>
      <c r="D13" s="13" t="s">
        <v>66</v>
      </c>
    </row>
    <row r="14" customFormat="false" ht="15" hidden="false" customHeight="false" outlineLevel="0" collapsed="false">
      <c r="A14" s="1" t="s">
        <v>67</v>
      </c>
      <c r="B14" s="21" t="n">
        <v>15000</v>
      </c>
      <c r="C14" s="1" t="s">
        <v>62</v>
      </c>
      <c r="D14" s="13" t="s">
        <v>68</v>
      </c>
    </row>
    <row r="15" customFormat="false" ht="15" hidden="false" customHeight="false" outlineLevel="0" collapsed="false">
      <c r="A15" s="1" t="s">
        <v>69</v>
      </c>
      <c r="B15" s="22" t="n">
        <f aca="false">in_VVTicket+in_Angels</f>
        <v>150000</v>
      </c>
      <c r="C15" s="1" t="s">
        <v>62</v>
      </c>
      <c r="D15" s="13" t="s">
        <v>70</v>
      </c>
    </row>
    <row r="16" customFormat="false" ht="15" hidden="false" customHeight="false" outlineLevel="0" collapsed="false">
      <c r="A16" s="1" t="s">
        <v>71</v>
      </c>
      <c r="B16" s="23" t="n">
        <v>0.1</v>
      </c>
      <c r="C16" s="1" t="s">
        <v>72</v>
      </c>
      <c r="D16" s="13" t="s">
        <v>73</v>
      </c>
    </row>
    <row r="17" customFormat="false" ht="15" hidden="false" customHeight="false" outlineLevel="0" collapsed="false">
      <c r="A17" s="1" t="s">
        <v>74</v>
      </c>
      <c r="B17" s="21" t="n">
        <v>1250000</v>
      </c>
      <c r="C17" s="1" t="s">
        <v>62</v>
      </c>
      <c r="D17" s="13" t="s">
        <v>75</v>
      </c>
    </row>
    <row r="18" customFormat="false" ht="15" hidden="false" customHeight="false" outlineLevel="0" collapsed="false">
      <c r="A18" s="1" t="s">
        <v>76</v>
      </c>
      <c r="B18" s="24" t="n">
        <v>0.1</v>
      </c>
      <c r="C18" s="1" t="s">
        <v>72</v>
      </c>
      <c r="D18" s="13" t="s">
        <v>77</v>
      </c>
    </row>
    <row r="19" customFormat="false" ht="15" hidden="false" customHeight="false" outlineLevel="0" collapsed="false">
      <c r="A19" s="1"/>
      <c r="B19" s="1"/>
      <c r="C19" s="1"/>
      <c r="D19" s="1"/>
    </row>
    <row r="20" customFormat="false" ht="15" hidden="false" customHeight="false" outlineLevel="0" collapsed="false">
      <c r="A20" s="15" t="s">
        <v>78</v>
      </c>
      <c r="B20" s="16"/>
      <c r="C20" s="16"/>
      <c r="D20" s="16"/>
    </row>
    <row r="21" customFormat="false" ht="15" hidden="false" customHeight="false" outlineLevel="0" collapsed="false">
      <c r="A21" s="1" t="s">
        <v>79</v>
      </c>
      <c r="B21" s="25" t="n">
        <v>149</v>
      </c>
      <c r="C21" s="1" t="s">
        <v>80</v>
      </c>
      <c r="D21" s="13" t="s">
        <v>81</v>
      </c>
    </row>
    <row r="22" customFormat="false" ht="15" hidden="false" customHeight="false" outlineLevel="0" collapsed="false">
      <c r="A22" s="1" t="s">
        <v>82</v>
      </c>
      <c r="B22" s="25" t="n">
        <v>249</v>
      </c>
      <c r="C22" s="1" t="s">
        <v>80</v>
      </c>
      <c r="D22" s="13" t="s">
        <v>81</v>
      </c>
    </row>
    <row r="23" customFormat="false" ht="15" hidden="false" customHeight="false" outlineLevel="0" collapsed="false">
      <c r="A23" s="1" t="s">
        <v>83</v>
      </c>
      <c r="B23" s="25" t="n">
        <v>229</v>
      </c>
      <c r="C23" s="1" t="s">
        <v>80</v>
      </c>
      <c r="D23" s="13" t="s">
        <v>81</v>
      </c>
    </row>
    <row r="24" customFormat="false" ht="15" hidden="false" customHeight="false" outlineLevel="0" collapsed="false">
      <c r="A24" s="1" t="s">
        <v>84</v>
      </c>
      <c r="B24" s="25" t="n">
        <v>219</v>
      </c>
      <c r="C24" s="1" t="s">
        <v>80</v>
      </c>
      <c r="D24" s="13" t="s">
        <v>81</v>
      </c>
    </row>
    <row r="25" customFormat="false" ht="15" hidden="false" customHeight="false" outlineLevel="0" collapsed="false">
      <c r="A25" s="1" t="s">
        <v>85</v>
      </c>
      <c r="B25" s="25" t="n">
        <v>499</v>
      </c>
      <c r="C25" s="1" t="s">
        <v>80</v>
      </c>
      <c r="D25" s="13" t="s">
        <v>81</v>
      </c>
    </row>
    <row r="26" customFormat="false" ht="15" hidden="false" customHeight="false" outlineLevel="0" collapsed="false">
      <c r="A26" s="1"/>
      <c r="B26" s="1"/>
      <c r="C26" s="1"/>
      <c r="D26" s="1"/>
    </row>
    <row r="27" customFormat="false" ht="15" hidden="false" customHeight="false" outlineLevel="0" collapsed="false">
      <c r="A27" s="15" t="s">
        <v>86</v>
      </c>
      <c r="B27" s="16"/>
      <c r="C27" s="16"/>
      <c r="D27" s="16"/>
    </row>
    <row r="28" customFormat="false" ht="15" hidden="false" customHeight="false" outlineLevel="0" collapsed="false">
      <c r="A28" s="1" t="s">
        <v>87</v>
      </c>
      <c r="B28" s="23" t="n">
        <v>0.45</v>
      </c>
      <c r="C28" s="1" t="s">
        <v>72</v>
      </c>
      <c r="D28" s="13" t="s">
        <v>88</v>
      </c>
    </row>
    <row r="29" customFormat="false" ht="15" hidden="false" customHeight="false" outlineLevel="0" collapsed="false">
      <c r="A29" s="1" t="s">
        <v>89</v>
      </c>
      <c r="B29" s="23" t="n">
        <v>0.25</v>
      </c>
      <c r="C29" s="1" t="s">
        <v>72</v>
      </c>
      <c r="D29" s="13" t="s">
        <v>88</v>
      </c>
    </row>
    <row r="30" customFormat="false" ht="15" hidden="false" customHeight="false" outlineLevel="0" collapsed="false">
      <c r="A30" s="1" t="s">
        <v>90</v>
      </c>
      <c r="B30" s="23" t="n">
        <v>0.1</v>
      </c>
      <c r="C30" s="1" t="s">
        <v>72</v>
      </c>
      <c r="D30" s="13" t="s">
        <v>88</v>
      </c>
    </row>
    <row r="31" customFormat="false" ht="15" hidden="false" customHeight="false" outlineLevel="0" collapsed="false">
      <c r="A31" s="1" t="s">
        <v>91</v>
      </c>
      <c r="B31" s="23" t="n">
        <v>0.05</v>
      </c>
      <c r="C31" s="1" t="s">
        <v>72</v>
      </c>
      <c r="D31" s="13" t="s">
        <v>92</v>
      </c>
    </row>
    <row r="32" customFormat="false" ht="15" hidden="false" customHeight="false" outlineLevel="0" collapsed="false">
      <c r="A32" s="1" t="s">
        <v>93</v>
      </c>
      <c r="B32" s="23" t="n">
        <v>0.15</v>
      </c>
      <c r="C32" s="1" t="s">
        <v>72</v>
      </c>
      <c r="D32" s="13" t="s">
        <v>88</v>
      </c>
    </row>
    <row r="33" customFormat="false" ht="15" hidden="false" customHeight="false" outlineLevel="0" collapsed="false">
      <c r="A33" s="1" t="s">
        <v>94</v>
      </c>
      <c r="B33" s="26" t="n">
        <f aca="false">in_MixCore+in_MixExtHR+in_MixOps+in_MixFin+in_MixAll</f>
        <v>1</v>
      </c>
      <c r="C33" s="1" t="s">
        <v>72</v>
      </c>
      <c r="D33" s="13" t="s">
        <v>95</v>
      </c>
    </row>
    <row r="34" customFormat="false" ht="15" hidden="false" customHeight="false" outlineLevel="0" collapsed="false">
      <c r="A34" s="1" t="s">
        <v>96</v>
      </c>
      <c r="B34" s="27" t="n">
        <f aca="false">in_PriceCore*in_MixCore+in_PriceExtHR*in_MixExtHR+in_PriceOps*in_MixOps+in_PriceFin*in_MixFin+in_PriceAll*in_MixAll</f>
        <v>238</v>
      </c>
      <c r="C34" s="1" t="s">
        <v>80</v>
      </c>
      <c r="D34" s="13" t="s">
        <v>97</v>
      </c>
    </row>
    <row r="35" customFormat="false" ht="15" hidden="false" customHeight="false" outlineLevel="0" collapsed="false">
      <c r="A35" s="1" t="s">
        <v>98</v>
      </c>
      <c r="B35" s="28" t="n">
        <f aca="false">in_BlendedPriceRON/in_FX</f>
        <v>47.6</v>
      </c>
      <c r="C35" s="1" t="s">
        <v>99</v>
      </c>
      <c r="D35" s="1"/>
    </row>
    <row r="36" customFormat="false" ht="15" hidden="false" customHeight="false" outlineLevel="0" collapsed="false">
      <c r="A36" s="1"/>
      <c r="B36" s="1"/>
      <c r="C36" s="1"/>
      <c r="D36" s="1"/>
    </row>
    <row r="37" customFormat="false" ht="15" hidden="false" customHeight="false" outlineLevel="0" collapsed="false">
      <c r="A37" s="15" t="s">
        <v>100</v>
      </c>
      <c r="B37" s="16"/>
      <c r="C37" s="16"/>
      <c r="D37" s="16"/>
    </row>
    <row r="38" customFormat="false" ht="15" hidden="false" customHeight="false" outlineLevel="0" collapsed="false">
      <c r="A38" s="1" t="s">
        <v>101</v>
      </c>
      <c r="B38" s="19" t="n">
        <v>4</v>
      </c>
      <c r="C38" s="1" t="s">
        <v>59</v>
      </c>
      <c r="D38" s="13" t="s">
        <v>102</v>
      </c>
    </row>
    <row r="39" customFormat="false" ht="15" hidden="false" customHeight="false" outlineLevel="0" collapsed="false">
      <c r="A39" s="1" t="s">
        <v>103</v>
      </c>
      <c r="B39" s="19" t="n">
        <v>4</v>
      </c>
      <c r="C39" s="1" t="s">
        <v>59</v>
      </c>
      <c r="D39" s="13" t="s">
        <v>104</v>
      </c>
    </row>
    <row r="40" customFormat="false" ht="15" hidden="false" customHeight="false" outlineLevel="0" collapsed="false">
      <c r="A40" s="1" t="s">
        <v>105</v>
      </c>
      <c r="B40" s="23" t="n">
        <v>0.6</v>
      </c>
      <c r="C40" s="1" t="s">
        <v>72</v>
      </c>
      <c r="D40" s="13" t="s">
        <v>106</v>
      </c>
    </row>
    <row r="41" customFormat="false" ht="15" hidden="false" customHeight="false" outlineLevel="0" collapsed="false">
      <c r="A41" s="1" t="s">
        <v>107</v>
      </c>
      <c r="B41" s="23" t="n">
        <v>0.2</v>
      </c>
      <c r="C41" s="1" t="s">
        <v>72</v>
      </c>
      <c r="D41" s="13" t="s">
        <v>108</v>
      </c>
    </row>
    <row r="42" customFormat="false" ht="15" hidden="false" customHeight="false" outlineLevel="0" collapsed="false">
      <c r="A42" s="1" t="s">
        <v>109</v>
      </c>
      <c r="B42" s="19" t="n">
        <v>6</v>
      </c>
      <c r="C42" s="1" t="s">
        <v>110</v>
      </c>
      <c r="D42" s="13" t="s">
        <v>111</v>
      </c>
    </row>
    <row r="43" customFormat="false" ht="15" hidden="false" customHeight="false" outlineLevel="0" collapsed="false">
      <c r="A43" s="1"/>
      <c r="B43" s="1"/>
      <c r="C43" s="1"/>
      <c r="D43" s="1"/>
    </row>
    <row r="44" customFormat="false" ht="15" hidden="false" customHeight="false" outlineLevel="0" collapsed="false">
      <c r="A44" s="15" t="s">
        <v>112</v>
      </c>
      <c r="B44" s="16"/>
      <c r="C44" s="16"/>
      <c r="D44" s="16"/>
    </row>
    <row r="45" customFormat="false" ht="15" hidden="false" customHeight="false" outlineLevel="0" collapsed="false">
      <c r="A45" s="1" t="s">
        <v>113</v>
      </c>
      <c r="B45" s="23" t="n">
        <v>0.0225</v>
      </c>
      <c r="C45" s="1" t="s">
        <v>72</v>
      </c>
      <c r="D45" s="13" t="s">
        <v>114</v>
      </c>
    </row>
    <row r="46" customFormat="false" ht="15" hidden="false" customHeight="false" outlineLevel="0" collapsed="false">
      <c r="A46" s="1" t="s">
        <v>115</v>
      </c>
      <c r="B46" s="23" t="n">
        <v>0.05</v>
      </c>
      <c r="C46" s="1" t="s">
        <v>72</v>
      </c>
      <c r="D46" s="13" t="s">
        <v>88</v>
      </c>
    </row>
    <row r="47" customFormat="false" ht="15" hidden="false" customHeight="false" outlineLevel="0" collapsed="false">
      <c r="A47" s="1" t="s">
        <v>116</v>
      </c>
      <c r="B47" s="20" t="n">
        <v>1000</v>
      </c>
      <c r="C47" s="1" t="s">
        <v>99</v>
      </c>
      <c r="D47" s="13" t="s">
        <v>117</v>
      </c>
    </row>
    <row r="48" customFormat="false" ht="15" hidden="false" customHeight="false" outlineLevel="0" collapsed="false">
      <c r="A48" s="1" t="s">
        <v>118</v>
      </c>
      <c r="B48" s="20" t="n">
        <v>2000</v>
      </c>
      <c r="C48" s="1" t="s">
        <v>99</v>
      </c>
      <c r="D48" s="13" t="s">
        <v>119</v>
      </c>
    </row>
    <row r="49" customFormat="false" ht="15" hidden="false" customHeight="false" outlineLevel="0" collapsed="false">
      <c r="A49" s="1" t="s">
        <v>120</v>
      </c>
      <c r="B49" s="19" t="n">
        <v>3</v>
      </c>
      <c r="C49" s="1" t="s">
        <v>59</v>
      </c>
      <c r="D49" s="13" t="s">
        <v>88</v>
      </c>
    </row>
    <row r="50" customFormat="false" ht="15" hidden="false" customHeight="false" outlineLevel="0" collapsed="false">
      <c r="A50" s="1" t="s">
        <v>121</v>
      </c>
      <c r="B50" s="23" t="n">
        <v>0.5</v>
      </c>
      <c r="C50" s="1" t="s">
        <v>122</v>
      </c>
      <c r="D50" s="13" t="s">
        <v>123</v>
      </c>
    </row>
    <row r="51" customFormat="false" ht="15" hidden="false" customHeight="false" outlineLevel="0" collapsed="false">
      <c r="A51" s="1" t="s">
        <v>124</v>
      </c>
      <c r="B51" s="19" t="n">
        <v>13</v>
      </c>
      <c r="C51" s="1" t="s">
        <v>59</v>
      </c>
      <c r="D51" s="13" t="s">
        <v>125</v>
      </c>
    </row>
    <row r="52" customFormat="false" ht="15" hidden="false" customHeight="false" outlineLevel="0" collapsed="false">
      <c r="A52" s="1" t="s">
        <v>126</v>
      </c>
      <c r="B52" s="20" t="n">
        <v>1400</v>
      </c>
      <c r="C52" s="1" t="s">
        <v>99</v>
      </c>
      <c r="D52" s="13" t="s">
        <v>127</v>
      </c>
    </row>
    <row r="53" customFormat="false" ht="15" hidden="false" customHeight="false" outlineLevel="0" collapsed="false">
      <c r="A53" s="1" t="s">
        <v>128</v>
      </c>
      <c r="B53" s="19" t="n">
        <v>7</v>
      </c>
      <c r="C53" s="1" t="s">
        <v>59</v>
      </c>
      <c r="D53" s="13" t="s">
        <v>129</v>
      </c>
    </row>
    <row r="54" customFormat="false" ht="15" hidden="false" customHeight="false" outlineLevel="0" collapsed="false">
      <c r="A54" s="1" t="s">
        <v>130</v>
      </c>
      <c r="B54" s="23" t="n">
        <v>0.5</v>
      </c>
      <c r="C54" s="1" t="s">
        <v>122</v>
      </c>
      <c r="D54" s="13" t="s">
        <v>88</v>
      </c>
    </row>
    <row r="55" customFormat="false" ht="15" hidden="false" customHeight="false" outlineLevel="0" collapsed="false">
      <c r="A55" s="1" t="s">
        <v>131</v>
      </c>
      <c r="B55" s="19" t="n">
        <v>25</v>
      </c>
      <c r="C55" s="1" t="s">
        <v>59</v>
      </c>
      <c r="D55" s="13" t="s">
        <v>132</v>
      </c>
    </row>
    <row r="56" customFormat="false" ht="15" hidden="false" customHeight="false" outlineLevel="0" collapsed="false">
      <c r="A56" s="1" t="s">
        <v>133</v>
      </c>
      <c r="B56" s="20" t="n">
        <v>2500</v>
      </c>
      <c r="C56" s="1" t="s">
        <v>99</v>
      </c>
      <c r="D56" s="13" t="s">
        <v>134</v>
      </c>
    </row>
    <row r="57" customFormat="false" ht="15" hidden="false" customHeight="false" outlineLevel="0" collapsed="false">
      <c r="A57" s="1"/>
      <c r="B57" s="1"/>
      <c r="C57" s="1"/>
      <c r="D57" s="1"/>
    </row>
    <row r="58" customFormat="false" ht="15" hidden="false" customHeight="false" outlineLevel="0" collapsed="false">
      <c r="A58" s="15" t="s">
        <v>135</v>
      </c>
      <c r="B58" s="16"/>
      <c r="C58" s="16"/>
      <c r="D58" s="16"/>
    </row>
    <row r="59" customFormat="false" ht="15" hidden="false" customHeight="false" outlineLevel="0" collapsed="false">
      <c r="A59" s="1" t="s">
        <v>136</v>
      </c>
      <c r="B59" s="20" t="n">
        <v>350</v>
      </c>
      <c r="C59" s="1" t="s">
        <v>99</v>
      </c>
      <c r="D59" s="13" t="s">
        <v>137</v>
      </c>
    </row>
    <row r="60" customFormat="false" ht="15" hidden="false" customHeight="false" outlineLevel="0" collapsed="false">
      <c r="A60" s="1" t="s">
        <v>138</v>
      </c>
      <c r="B60" s="29" t="n">
        <v>1.5</v>
      </c>
      <c r="C60" s="1" t="s">
        <v>139</v>
      </c>
      <c r="D60" s="13" t="s">
        <v>88</v>
      </c>
    </row>
    <row r="61" customFormat="false" ht="15" hidden="false" customHeight="false" outlineLevel="0" collapsed="false">
      <c r="A61" s="1" t="s">
        <v>140</v>
      </c>
      <c r="B61" s="20" t="n">
        <v>250</v>
      </c>
      <c r="C61" s="1" t="s">
        <v>99</v>
      </c>
      <c r="D61" s="13" t="s">
        <v>141</v>
      </c>
    </row>
    <row r="62" customFormat="false" ht="15" hidden="false" customHeight="false" outlineLevel="0" collapsed="false">
      <c r="A62" s="1" t="s">
        <v>142</v>
      </c>
      <c r="B62" s="23" t="n">
        <v>0.02</v>
      </c>
      <c r="C62" s="1" t="s">
        <v>143</v>
      </c>
      <c r="D62" s="13" t="s">
        <v>144</v>
      </c>
    </row>
    <row r="63" customFormat="false" ht="15" hidden="false" customHeight="false" outlineLevel="0" collapsed="false">
      <c r="A63" s="1" t="s">
        <v>145</v>
      </c>
      <c r="B63" s="20" t="n">
        <v>1500</v>
      </c>
      <c r="C63" s="1" t="s">
        <v>99</v>
      </c>
      <c r="D63" s="13" t="s">
        <v>88</v>
      </c>
    </row>
    <row r="64" customFormat="false" ht="15" hidden="false" customHeight="false" outlineLevel="0" collapsed="false">
      <c r="A64" s="1" t="s">
        <v>146</v>
      </c>
      <c r="B64" s="20" t="n">
        <v>2500</v>
      </c>
      <c r="C64" s="1" t="s">
        <v>99</v>
      </c>
      <c r="D64" s="13" t="s">
        <v>88</v>
      </c>
    </row>
    <row r="65" customFormat="false" ht="15" hidden="false" customHeight="false" outlineLevel="0" collapsed="false">
      <c r="A65" s="1" t="s">
        <v>147</v>
      </c>
      <c r="B65" s="20" t="n">
        <v>3500</v>
      </c>
      <c r="C65" s="1" t="s">
        <v>99</v>
      </c>
      <c r="D65" s="13" t="s">
        <v>88</v>
      </c>
    </row>
    <row r="66" customFormat="false" ht="15" hidden="false" customHeight="false" outlineLevel="0" collapsed="false">
      <c r="A66" s="1" t="s">
        <v>148</v>
      </c>
      <c r="B66" s="20" t="n">
        <v>300</v>
      </c>
      <c r="C66" s="1" t="s">
        <v>99</v>
      </c>
      <c r="D66" s="13" t="s">
        <v>149</v>
      </c>
    </row>
    <row r="67" customFormat="false" ht="15" hidden="false" customHeight="false" outlineLevel="0" collapsed="false">
      <c r="A67" s="1" t="s">
        <v>150</v>
      </c>
      <c r="B67" s="20" t="n">
        <v>200</v>
      </c>
      <c r="C67" s="1" t="s">
        <v>99</v>
      </c>
      <c r="D67" s="13" t="s">
        <v>151</v>
      </c>
    </row>
    <row r="68" customFormat="false" ht="15" hidden="false" customHeight="false" outlineLevel="0" collapsed="false">
      <c r="A68" s="1" t="s">
        <v>152</v>
      </c>
      <c r="B68" s="20" t="n">
        <v>100</v>
      </c>
      <c r="C68" s="1" t="s">
        <v>99</v>
      </c>
      <c r="D68" s="13" t="s">
        <v>153</v>
      </c>
    </row>
    <row r="69" customFormat="false" ht="15" hidden="false" customHeight="false" outlineLevel="0" collapsed="false">
      <c r="A69" s="1" t="s">
        <v>154</v>
      </c>
      <c r="B69" s="20" t="n">
        <v>200</v>
      </c>
      <c r="C69" s="1" t="s">
        <v>99</v>
      </c>
      <c r="D69" s="13" t="s">
        <v>88</v>
      </c>
    </row>
    <row r="70" customFormat="false" ht="15" hidden="false" customHeight="false" outlineLevel="0" collapsed="false">
      <c r="A70" s="1" t="s">
        <v>155</v>
      </c>
      <c r="B70" s="23" t="n">
        <v>0.05</v>
      </c>
      <c r="C70" s="1" t="s">
        <v>72</v>
      </c>
      <c r="D70" s="13" t="s">
        <v>88</v>
      </c>
    </row>
    <row r="71" customFormat="false" ht="15" hidden="false" customHeight="false" outlineLevel="0" collapsed="false">
      <c r="A71" s="1"/>
      <c r="B71" s="1"/>
      <c r="C71" s="1"/>
      <c r="D71" s="1"/>
    </row>
    <row r="72" customFormat="false" ht="15" hidden="false" customHeight="false" outlineLevel="0" collapsed="false">
      <c r="A72" s="15" t="s">
        <v>156</v>
      </c>
      <c r="B72" s="16"/>
      <c r="C72" s="16"/>
      <c r="D72" s="16"/>
    </row>
    <row r="73" customFormat="false" ht="15" hidden="false" customHeight="false" outlineLevel="0" collapsed="false">
      <c r="A73" s="1" t="s">
        <v>157</v>
      </c>
      <c r="B73" s="20" t="n">
        <v>5000</v>
      </c>
      <c r="C73" s="1" t="s">
        <v>62</v>
      </c>
      <c r="D73" s="13" t="s">
        <v>158</v>
      </c>
    </row>
    <row r="74" customFormat="false" ht="15" hidden="false" customHeight="false" outlineLevel="0" collapsed="false">
      <c r="A74" s="1" t="s">
        <v>159</v>
      </c>
      <c r="B74" s="19" t="n">
        <v>1</v>
      </c>
      <c r="C74" s="1" t="s">
        <v>59</v>
      </c>
      <c r="D74" s="13"/>
    </row>
    <row r="75" customFormat="false" ht="15" hidden="false" customHeight="false" outlineLevel="0" collapsed="false">
      <c r="A75" s="1" t="s">
        <v>160</v>
      </c>
      <c r="B75" s="19" t="n">
        <v>2</v>
      </c>
      <c r="C75" s="1" t="s">
        <v>59</v>
      </c>
      <c r="D75" s="13"/>
    </row>
    <row r="76" customFormat="false" ht="15" hidden="false" customHeight="false" outlineLevel="0" collapsed="false">
      <c r="A76" s="1" t="s">
        <v>161</v>
      </c>
      <c r="B76" s="20" t="n">
        <v>8000</v>
      </c>
      <c r="C76" s="1" t="s">
        <v>62</v>
      </c>
      <c r="D76" s="13" t="s">
        <v>162</v>
      </c>
    </row>
    <row r="77" customFormat="false" ht="15" hidden="false" customHeight="false" outlineLevel="0" collapsed="false">
      <c r="A77" s="1" t="s">
        <v>159</v>
      </c>
      <c r="B77" s="19" t="n">
        <v>2</v>
      </c>
      <c r="C77" s="1" t="s">
        <v>59</v>
      </c>
      <c r="D77" s="13"/>
    </row>
    <row r="78" customFormat="false" ht="15" hidden="false" customHeight="false" outlineLevel="0" collapsed="false">
      <c r="A78" s="1" t="s">
        <v>160</v>
      </c>
      <c r="B78" s="19" t="n">
        <v>5</v>
      </c>
      <c r="C78" s="1" t="s">
        <v>59</v>
      </c>
      <c r="D78" s="13"/>
    </row>
    <row r="79" customFormat="false" ht="15" hidden="false" customHeight="false" outlineLevel="0" collapsed="false">
      <c r="A79" s="1" t="s">
        <v>163</v>
      </c>
      <c r="B79" s="20" t="n">
        <v>3000</v>
      </c>
      <c r="C79" s="1" t="s">
        <v>62</v>
      </c>
      <c r="D79" s="13" t="s">
        <v>164</v>
      </c>
    </row>
    <row r="80" customFormat="false" ht="15" hidden="false" customHeight="false" outlineLevel="0" collapsed="false">
      <c r="A80" s="1" t="s">
        <v>159</v>
      </c>
      <c r="B80" s="19" t="n">
        <v>5</v>
      </c>
      <c r="C80" s="1" t="s">
        <v>59</v>
      </c>
      <c r="D80" s="13"/>
    </row>
    <row r="81" customFormat="false" ht="15" hidden="false" customHeight="false" outlineLevel="0" collapsed="false">
      <c r="A81" s="1" t="s">
        <v>160</v>
      </c>
      <c r="B81" s="19" t="n">
        <v>6</v>
      </c>
      <c r="C81" s="1" t="s">
        <v>59</v>
      </c>
      <c r="D81" s="13"/>
    </row>
    <row r="82" customFormat="false" ht="15" hidden="false" customHeight="false" outlineLevel="0" collapsed="false">
      <c r="A82" s="1" t="s">
        <v>165</v>
      </c>
      <c r="B82" s="20" t="n">
        <v>6000</v>
      </c>
      <c r="C82" s="1" t="s">
        <v>62</v>
      </c>
      <c r="D82" s="13" t="s">
        <v>166</v>
      </c>
    </row>
    <row r="83" customFormat="false" ht="15" hidden="false" customHeight="false" outlineLevel="0" collapsed="false">
      <c r="A83" s="1" t="s">
        <v>159</v>
      </c>
      <c r="B83" s="19" t="n">
        <v>12</v>
      </c>
      <c r="C83" s="1" t="s">
        <v>59</v>
      </c>
      <c r="D83" s="13" t="s">
        <v>167</v>
      </c>
    </row>
    <row r="84" customFormat="false" ht="15" hidden="false" customHeight="false" outlineLevel="0" collapsed="false">
      <c r="A84" s="1" t="s">
        <v>160</v>
      </c>
      <c r="B84" s="19" t="n">
        <v>12</v>
      </c>
      <c r="C84" s="1" t="s">
        <v>59</v>
      </c>
      <c r="D84" s="13"/>
    </row>
    <row r="85" customFormat="false" ht="15" hidden="false" customHeight="false" outlineLevel="0" collapsed="false">
      <c r="A85" s="1"/>
      <c r="B85" s="1"/>
      <c r="C85" s="1"/>
      <c r="D85" s="1"/>
    </row>
    <row r="86" customFormat="false" ht="15" hidden="false" customHeight="false" outlineLevel="0" collapsed="false">
      <c r="A86" s="15" t="s">
        <v>168</v>
      </c>
      <c r="B86" s="16"/>
      <c r="C86" s="16"/>
      <c r="D86" s="16"/>
    </row>
    <row r="87" customFormat="false" ht="15" hidden="false" customHeight="false" outlineLevel="0" collapsed="false">
      <c r="A87" s="1" t="s">
        <v>169</v>
      </c>
      <c r="B87" s="19" t="n">
        <v>1</v>
      </c>
      <c r="C87" s="1" t="s">
        <v>170</v>
      </c>
      <c r="D87" s="13" t="s">
        <v>171</v>
      </c>
    </row>
    <row r="88" customFormat="false" ht="15" hidden="false" customHeight="false" outlineLevel="0" collapsed="false">
      <c r="A88" s="1" t="s">
        <v>172</v>
      </c>
      <c r="B88" s="23" t="n">
        <v>0.01</v>
      </c>
      <c r="C88" s="1" t="s">
        <v>143</v>
      </c>
      <c r="D88" s="13" t="s">
        <v>173</v>
      </c>
    </row>
    <row r="89" customFormat="false" ht="15" hidden="false" customHeight="false" outlineLevel="0" collapsed="false">
      <c r="A89" s="1" t="s">
        <v>174</v>
      </c>
      <c r="B89" s="23" t="n">
        <v>0.16</v>
      </c>
      <c r="C89" s="1" t="s">
        <v>175</v>
      </c>
      <c r="D89" s="13" t="s">
        <v>176</v>
      </c>
    </row>
    <row r="90" customFormat="false" ht="15" hidden="false" customHeight="false" outlineLevel="0" collapsed="false">
      <c r="A90" s="1"/>
      <c r="B90" s="1"/>
      <c r="C90" s="1"/>
      <c r="D90" s="1"/>
    </row>
    <row r="91" customFormat="false" ht="15" hidden="false" customHeight="false" outlineLevel="0" collapsed="false">
      <c r="A91" s="15" t="s">
        <v>177</v>
      </c>
      <c r="B91" s="16"/>
      <c r="C91" s="16"/>
      <c r="D91" s="16"/>
    </row>
    <row r="92" customFormat="false" ht="15" hidden="false" customHeight="false" outlineLevel="0" collapsed="false">
      <c r="A92" s="1" t="s">
        <v>178</v>
      </c>
      <c r="B92" s="19" t="n">
        <v>2</v>
      </c>
      <c r="C92" s="1" t="s">
        <v>179</v>
      </c>
      <c r="D92" s="13" t="s">
        <v>180</v>
      </c>
    </row>
    <row r="93" customFormat="false" ht="15" hidden="false" customHeight="false" outlineLevel="0" collapsed="false">
      <c r="A93" s="1"/>
      <c r="B93" s="1"/>
      <c r="C93" s="1"/>
      <c r="D93" s="1"/>
    </row>
    <row r="94" customFormat="false" ht="15" hidden="false" customHeight="false" outlineLevel="0" collapsed="false">
      <c r="A94" s="15" t="s">
        <v>181</v>
      </c>
      <c r="B94" s="16"/>
      <c r="C94" s="16"/>
      <c r="D94" s="16"/>
    </row>
    <row r="95" customFormat="false" ht="15" hidden="false" customHeight="false" outlineLevel="0" collapsed="false">
      <c r="A95" s="1" t="s">
        <v>182</v>
      </c>
      <c r="B95" s="5" t="str">
        <f aca="false">INDEX(Scenarios!$C$4:$E$4,1,ScenarioIdx)</f>
        <v>Base</v>
      </c>
      <c r="C95" s="1"/>
      <c r="D95" s="1"/>
    </row>
    <row r="96" customFormat="false" ht="15" hidden="false" customHeight="false" outlineLevel="0" collapsed="false">
      <c r="A96" s="1" t="s">
        <v>183</v>
      </c>
      <c r="B96" s="10" t="n">
        <f aca="false">INDEX(Scenarios!$C$5:$E$5,1,ScenarioIdx)</f>
        <v>6</v>
      </c>
      <c r="C96" s="1" t="s">
        <v>184</v>
      </c>
      <c r="D96" s="13" t="s">
        <v>185</v>
      </c>
    </row>
    <row r="97" customFormat="false" ht="15" hidden="false" customHeight="false" outlineLevel="0" collapsed="false">
      <c r="A97" s="1" t="s">
        <v>186</v>
      </c>
      <c r="B97" s="30" t="n">
        <f aca="false">INDEX(Scenarios!$C$6:$E$6,1,ScenarioIdx)</f>
        <v>2</v>
      </c>
      <c r="C97" s="1" t="s">
        <v>187</v>
      </c>
      <c r="D97" s="13" t="s">
        <v>188</v>
      </c>
    </row>
    <row r="98" customFormat="false" ht="15" hidden="false" customHeight="false" outlineLevel="0" collapsed="false">
      <c r="A98" s="1" t="s">
        <v>189</v>
      </c>
      <c r="B98" s="7" t="n">
        <f aca="false">INDEX(Scenarios!$C$7:$E$7,1,ScenarioIdx)</f>
        <v>0.5</v>
      </c>
      <c r="C98" s="1" t="s">
        <v>72</v>
      </c>
      <c r="D98" s="13" t="s">
        <v>190</v>
      </c>
    </row>
    <row r="99" customFormat="false" ht="15" hidden="false" customHeight="false" outlineLevel="0" collapsed="false">
      <c r="A99" s="1" t="s">
        <v>191</v>
      </c>
      <c r="B99" s="30" t="n">
        <f aca="false">INDEX(Scenarios!$C$8:$E$8,1,ScenarioIdx)</f>
        <v>2</v>
      </c>
      <c r="C99" s="1" t="s">
        <v>192</v>
      </c>
      <c r="D99" s="13" t="s">
        <v>193</v>
      </c>
    </row>
    <row r="100" customFormat="false" ht="15" hidden="false" customHeight="false" outlineLevel="0" collapsed="false">
      <c r="A100" s="1" t="s">
        <v>194</v>
      </c>
      <c r="B100" s="30" t="n">
        <f aca="false">INDEX(Scenarios!$C$9:$E$9,1,ScenarioIdx)</f>
        <v>3</v>
      </c>
      <c r="C100" s="1" t="s">
        <v>192</v>
      </c>
      <c r="D100" s="13" t="s">
        <v>88</v>
      </c>
    </row>
    <row r="101" customFormat="false" ht="15" hidden="false" customHeight="false" outlineLevel="0" collapsed="false">
      <c r="A101" s="1" t="s">
        <v>195</v>
      </c>
      <c r="B101" s="30" t="n">
        <f aca="false">INDEX(Scenarios!$C$10:$E$10,1,ScenarioIdx)</f>
        <v>4</v>
      </c>
      <c r="C101" s="1" t="s">
        <v>192</v>
      </c>
      <c r="D101" s="13" t="s">
        <v>88</v>
      </c>
    </row>
    <row r="102" customFormat="false" ht="15" hidden="false" customHeight="false" outlineLevel="0" collapsed="false">
      <c r="A102" s="1" t="s">
        <v>196</v>
      </c>
      <c r="B102" s="31" t="n">
        <f aca="false">INDEX(Scenarios!$C$11:$E$11,1,ScenarioIdx)</f>
        <v>0.2</v>
      </c>
      <c r="C102" s="1" t="s">
        <v>187</v>
      </c>
      <c r="D102" s="13" t="s">
        <v>197</v>
      </c>
    </row>
    <row r="103" customFormat="false" ht="15" hidden="false" customHeight="false" outlineLevel="0" collapsed="false">
      <c r="A103" s="1" t="s">
        <v>198</v>
      </c>
      <c r="B103" s="7" t="n">
        <f aca="false">INDEX(Scenarios!$C$12:$E$12,1,ScenarioIdx)</f>
        <v>0.5</v>
      </c>
      <c r="C103" s="1" t="s">
        <v>72</v>
      </c>
      <c r="D103" s="13" t="s">
        <v>199</v>
      </c>
    </row>
    <row r="104" customFormat="false" ht="15" hidden="false" customHeight="false" outlineLevel="0" collapsed="false">
      <c r="A104" s="1" t="s">
        <v>200</v>
      </c>
      <c r="B104" s="30" t="n">
        <f aca="false">INDEX(Scenarios!$C$13:$E$13,1,ScenarioIdx)</f>
        <v>4</v>
      </c>
      <c r="C104" s="1" t="s">
        <v>201</v>
      </c>
      <c r="D104" s="13" t="s">
        <v>202</v>
      </c>
    </row>
    <row r="105" customFormat="false" ht="15" hidden="false" customHeight="false" outlineLevel="0" collapsed="false">
      <c r="A105" s="1" t="s">
        <v>203</v>
      </c>
      <c r="B105" s="30" t="n">
        <f aca="false">INDEX(Scenarios!$C$14:$E$14,1,ScenarioIdx)</f>
        <v>12</v>
      </c>
      <c r="C105" s="1" t="s">
        <v>201</v>
      </c>
      <c r="D105" s="13" t="s">
        <v>88</v>
      </c>
    </row>
    <row r="106" customFormat="false" ht="15" hidden="false" customHeight="false" outlineLevel="0" collapsed="false">
      <c r="A106" s="1" t="s">
        <v>204</v>
      </c>
      <c r="B106" s="30" t="n">
        <f aca="false">INDEX(Scenarios!$C$15:$E$15,1,ScenarioIdx)</f>
        <v>20</v>
      </c>
      <c r="C106" s="1" t="s">
        <v>201</v>
      </c>
      <c r="D106" s="13" t="s">
        <v>88</v>
      </c>
    </row>
    <row r="107" customFormat="false" ht="15" hidden="false" customHeight="false" outlineLevel="0" collapsed="false">
      <c r="A107" s="1" t="s">
        <v>205</v>
      </c>
      <c r="B107" s="7" t="n">
        <f aca="false">INDEX(Scenarios!$C$16:$E$16,1,ScenarioIdx)</f>
        <v>0.25</v>
      </c>
      <c r="C107" s="1" t="s">
        <v>72</v>
      </c>
      <c r="D107" s="13" t="s">
        <v>206</v>
      </c>
    </row>
    <row r="108" customFormat="false" ht="15" hidden="false" customHeight="false" outlineLevel="0" collapsed="false">
      <c r="A108" s="1" t="s">
        <v>207</v>
      </c>
      <c r="B108" s="6" t="n">
        <f aca="false">INDEX(Scenarios!$C$17:$E$17,1,ScenarioIdx)</f>
        <v>80</v>
      </c>
      <c r="C108" s="1" t="s">
        <v>62</v>
      </c>
      <c r="D108" s="13" t="s">
        <v>208</v>
      </c>
    </row>
    <row r="109" customFormat="false" ht="15" hidden="false" customHeight="false" outlineLevel="0" collapsed="false">
      <c r="A109" s="1" t="s">
        <v>209</v>
      </c>
      <c r="B109" s="7" t="n">
        <f aca="false">INDEX(Scenarios!$C$18:$E$18,1,ScenarioIdx)</f>
        <v>0.03</v>
      </c>
      <c r="C109" s="1" t="s">
        <v>210</v>
      </c>
      <c r="D109" s="13" t="s">
        <v>211</v>
      </c>
    </row>
    <row r="110" customFormat="false" ht="15" hidden="false" customHeight="false" outlineLevel="0" collapsed="false">
      <c r="A110" s="1" t="s">
        <v>212</v>
      </c>
      <c r="B110" s="7" t="n">
        <f aca="false">INDEX(Scenarios!$C$19:$E$19,1,ScenarioIdx)</f>
        <v>0.05</v>
      </c>
      <c r="C110" s="1" t="s">
        <v>213</v>
      </c>
      <c r="D110" s="13" t="s">
        <v>88</v>
      </c>
    </row>
    <row r="111" customFormat="false" ht="15" hidden="false" customHeight="false" outlineLevel="0" collapsed="false">
      <c r="A111" s="1" t="s">
        <v>214</v>
      </c>
      <c r="B111" s="10" t="n">
        <f aca="false">INDEX(Scenarios!$C$20:$E$20,1,ScenarioIdx)</f>
        <v>25</v>
      </c>
      <c r="C111" s="1" t="s">
        <v>59</v>
      </c>
      <c r="D111" s="13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8" min="3" style="0" width="11"/>
  </cols>
  <sheetData>
    <row r="1" customFormat="false" ht="15" hidden="false" customHeight="false" outlineLevel="0" collapsed="false">
      <c r="A1" s="2" t="s">
        <v>216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customFormat="false" ht="15" hidden="false" customHeight="false" outlineLevel="0" collapsed="false">
      <c r="A2" s="13" t="s">
        <v>217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customFormat="false" ht="15" hidden="false" customHeight="false" outlineLevel="0" collapsed="false">
      <c r="A3" s="15" t="s">
        <v>218</v>
      </c>
      <c r="B3" s="16"/>
      <c r="C3" s="32" t="n">
        <v>1</v>
      </c>
      <c r="D3" s="32" t="n">
        <f aca="false">C3+1</f>
        <v>2</v>
      </c>
      <c r="E3" s="32" t="n">
        <f aca="false">D3+1</f>
        <v>3</v>
      </c>
      <c r="F3" s="32" t="n">
        <f aca="false">E3+1</f>
        <v>4</v>
      </c>
      <c r="G3" s="32" t="n">
        <f aca="false">F3+1</f>
        <v>5</v>
      </c>
      <c r="H3" s="32" t="n">
        <f aca="false">G3+1</f>
        <v>6</v>
      </c>
      <c r="I3" s="32" t="n">
        <f aca="false">H3+1</f>
        <v>7</v>
      </c>
      <c r="J3" s="32" t="n">
        <f aca="false">I3+1</f>
        <v>8</v>
      </c>
      <c r="K3" s="32" t="n">
        <f aca="false">J3+1</f>
        <v>9</v>
      </c>
      <c r="L3" s="32" t="n">
        <f aca="false">K3+1</f>
        <v>10</v>
      </c>
      <c r="M3" s="32" t="n">
        <f aca="false">L3+1</f>
        <v>11</v>
      </c>
      <c r="N3" s="32" t="n">
        <f aca="false">M3+1</f>
        <v>12</v>
      </c>
      <c r="O3" s="32" t="n">
        <f aca="false">N3+1</f>
        <v>13</v>
      </c>
      <c r="P3" s="32" t="n">
        <f aca="false">O3+1</f>
        <v>14</v>
      </c>
      <c r="Q3" s="32" t="n">
        <f aca="false">P3+1</f>
        <v>15</v>
      </c>
      <c r="R3" s="32" t="n">
        <f aca="false">Q3+1</f>
        <v>16</v>
      </c>
      <c r="S3" s="32" t="n">
        <f aca="false">R3+1</f>
        <v>17</v>
      </c>
      <c r="T3" s="32" t="n">
        <f aca="false">S3+1</f>
        <v>18</v>
      </c>
      <c r="U3" s="32" t="n">
        <f aca="false">T3+1</f>
        <v>19</v>
      </c>
      <c r="V3" s="32" t="n">
        <f aca="false">U3+1</f>
        <v>20</v>
      </c>
      <c r="W3" s="32" t="n">
        <f aca="false">V3+1</f>
        <v>21</v>
      </c>
      <c r="X3" s="32" t="n">
        <f aca="false">W3+1</f>
        <v>22</v>
      </c>
      <c r="Y3" s="32" t="n">
        <f aca="false">X3+1</f>
        <v>23</v>
      </c>
      <c r="Z3" s="32" t="n">
        <f aca="false">Y3+1</f>
        <v>24</v>
      </c>
      <c r="AA3" s="32" t="n">
        <f aca="false">Z3+1</f>
        <v>25</v>
      </c>
      <c r="AB3" s="32" t="n">
        <f aca="false">AA3+1</f>
        <v>26</v>
      </c>
      <c r="AC3" s="32" t="n">
        <f aca="false">AB3+1</f>
        <v>27</v>
      </c>
      <c r="AD3" s="32" t="n">
        <f aca="false">AC3+1</f>
        <v>28</v>
      </c>
      <c r="AE3" s="32" t="n">
        <f aca="false">AD3+1</f>
        <v>29</v>
      </c>
      <c r="AF3" s="32" t="n">
        <f aca="false">AE3+1</f>
        <v>30</v>
      </c>
      <c r="AG3" s="32" t="n">
        <f aca="false">AF3+1</f>
        <v>31</v>
      </c>
      <c r="AH3" s="32" t="n">
        <f aca="false">AG3+1</f>
        <v>32</v>
      </c>
      <c r="AI3" s="32" t="n">
        <f aca="false">AH3+1</f>
        <v>33</v>
      </c>
      <c r="AJ3" s="32" t="n">
        <f aca="false">AI3+1</f>
        <v>34</v>
      </c>
      <c r="AK3" s="32" t="n">
        <f aca="false">AJ3+1</f>
        <v>35</v>
      </c>
      <c r="AL3" s="32" t="n">
        <f aca="false">AK3+1</f>
        <v>36</v>
      </c>
    </row>
    <row r="4" customFormat="false" ht="15" hidden="false" customHeight="false" outlineLevel="0" collapsed="false">
      <c r="A4" s="15" t="s">
        <v>219</v>
      </c>
      <c r="B4" s="16"/>
      <c r="C4" s="33" t="n">
        <f aca="false">DATE(YEAR(in_StartDate),MONTH(in_StartDate)+C3-1,1)</f>
        <v>46388</v>
      </c>
      <c r="D4" s="33" t="n">
        <f aca="false">DATE(YEAR(in_StartDate),MONTH(in_StartDate)+D3-1,1)</f>
        <v>46419</v>
      </c>
      <c r="E4" s="33" t="n">
        <f aca="false">DATE(YEAR(in_StartDate),MONTH(in_StartDate)+E3-1,1)</f>
        <v>46447</v>
      </c>
      <c r="F4" s="33" t="n">
        <f aca="false">DATE(YEAR(in_StartDate),MONTH(in_StartDate)+F3-1,1)</f>
        <v>46478</v>
      </c>
      <c r="G4" s="33" t="n">
        <f aca="false">DATE(YEAR(in_StartDate),MONTH(in_StartDate)+G3-1,1)</f>
        <v>46508</v>
      </c>
      <c r="H4" s="33" t="n">
        <f aca="false">DATE(YEAR(in_StartDate),MONTH(in_StartDate)+H3-1,1)</f>
        <v>46539</v>
      </c>
      <c r="I4" s="33" t="n">
        <f aca="false">DATE(YEAR(in_StartDate),MONTH(in_StartDate)+I3-1,1)</f>
        <v>46569</v>
      </c>
      <c r="J4" s="33" t="n">
        <f aca="false">DATE(YEAR(in_StartDate),MONTH(in_StartDate)+J3-1,1)</f>
        <v>46600</v>
      </c>
      <c r="K4" s="33" t="n">
        <f aca="false">DATE(YEAR(in_StartDate),MONTH(in_StartDate)+K3-1,1)</f>
        <v>46631</v>
      </c>
      <c r="L4" s="33" t="n">
        <f aca="false">DATE(YEAR(in_StartDate),MONTH(in_StartDate)+L3-1,1)</f>
        <v>46661</v>
      </c>
      <c r="M4" s="33" t="n">
        <f aca="false">DATE(YEAR(in_StartDate),MONTH(in_StartDate)+M3-1,1)</f>
        <v>46692</v>
      </c>
      <c r="N4" s="33" t="n">
        <f aca="false">DATE(YEAR(in_StartDate),MONTH(in_StartDate)+N3-1,1)</f>
        <v>46722</v>
      </c>
      <c r="O4" s="33" t="n">
        <f aca="false">DATE(YEAR(in_StartDate),MONTH(in_StartDate)+O3-1,1)</f>
        <v>46753</v>
      </c>
      <c r="P4" s="33" t="n">
        <f aca="false">DATE(YEAR(in_StartDate),MONTH(in_StartDate)+P3-1,1)</f>
        <v>46784</v>
      </c>
      <c r="Q4" s="33" t="n">
        <f aca="false">DATE(YEAR(in_StartDate),MONTH(in_StartDate)+Q3-1,1)</f>
        <v>46813</v>
      </c>
      <c r="R4" s="33" t="n">
        <f aca="false">DATE(YEAR(in_StartDate),MONTH(in_StartDate)+R3-1,1)</f>
        <v>46844</v>
      </c>
      <c r="S4" s="33" t="n">
        <f aca="false">DATE(YEAR(in_StartDate),MONTH(in_StartDate)+S3-1,1)</f>
        <v>46874</v>
      </c>
      <c r="T4" s="33" t="n">
        <f aca="false">DATE(YEAR(in_StartDate),MONTH(in_StartDate)+T3-1,1)</f>
        <v>46905</v>
      </c>
      <c r="U4" s="33" t="n">
        <f aca="false">DATE(YEAR(in_StartDate),MONTH(in_StartDate)+U3-1,1)</f>
        <v>46935</v>
      </c>
      <c r="V4" s="33" t="n">
        <f aca="false">DATE(YEAR(in_StartDate),MONTH(in_StartDate)+V3-1,1)</f>
        <v>46966</v>
      </c>
      <c r="W4" s="33" t="n">
        <f aca="false">DATE(YEAR(in_StartDate),MONTH(in_StartDate)+W3-1,1)</f>
        <v>46997</v>
      </c>
      <c r="X4" s="33" t="n">
        <f aca="false">DATE(YEAR(in_StartDate),MONTH(in_StartDate)+X3-1,1)</f>
        <v>47027</v>
      </c>
      <c r="Y4" s="33" t="n">
        <f aca="false">DATE(YEAR(in_StartDate),MONTH(in_StartDate)+Y3-1,1)</f>
        <v>47058</v>
      </c>
      <c r="Z4" s="33" t="n">
        <f aca="false">DATE(YEAR(in_StartDate),MONTH(in_StartDate)+Z3-1,1)</f>
        <v>47088</v>
      </c>
      <c r="AA4" s="33" t="n">
        <f aca="false">DATE(YEAR(in_StartDate),MONTH(in_StartDate)+AA3-1,1)</f>
        <v>47119</v>
      </c>
      <c r="AB4" s="33" t="n">
        <f aca="false">DATE(YEAR(in_StartDate),MONTH(in_StartDate)+AB3-1,1)</f>
        <v>47150</v>
      </c>
      <c r="AC4" s="33" t="n">
        <f aca="false">DATE(YEAR(in_StartDate),MONTH(in_StartDate)+AC3-1,1)</f>
        <v>47178</v>
      </c>
      <c r="AD4" s="33" t="n">
        <f aca="false">DATE(YEAR(in_StartDate),MONTH(in_StartDate)+AD3-1,1)</f>
        <v>47209</v>
      </c>
      <c r="AE4" s="33" t="n">
        <f aca="false">DATE(YEAR(in_StartDate),MONTH(in_StartDate)+AE3-1,1)</f>
        <v>47239</v>
      </c>
      <c r="AF4" s="33" t="n">
        <f aca="false">DATE(YEAR(in_StartDate),MONTH(in_StartDate)+AF3-1,1)</f>
        <v>47270</v>
      </c>
      <c r="AG4" s="33" t="n">
        <f aca="false">DATE(YEAR(in_StartDate),MONTH(in_StartDate)+AG3-1,1)</f>
        <v>47300</v>
      </c>
      <c r="AH4" s="33" t="n">
        <f aca="false">DATE(YEAR(in_StartDate),MONTH(in_StartDate)+AH3-1,1)</f>
        <v>47331</v>
      </c>
      <c r="AI4" s="33" t="n">
        <f aca="false">DATE(YEAR(in_StartDate),MONTH(in_StartDate)+AI3-1,1)</f>
        <v>47362</v>
      </c>
      <c r="AJ4" s="33" t="n">
        <f aca="false">DATE(YEAR(in_StartDate),MONTH(in_StartDate)+AJ3-1,1)</f>
        <v>47392</v>
      </c>
      <c r="AK4" s="33" t="n">
        <f aca="false">DATE(YEAR(in_StartDate),MONTH(in_StartDate)+AK3-1,1)</f>
        <v>47423</v>
      </c>
      <c r="AL4" s="33" t="n">
        <f aca="false">DATE(YEAR(in_StartDate),MONTH(in_StartDate)+AL3-1,1)</f>
        <v>47453</v>
      </c>
    </row>
    <row r="5" customFormat="false" ht="15" hidden="false" customHeight="false" outlineLevel="0" collapsed="false">
      <c r="A5" s="15" t="s">
        <v>220</v>
      </c>
      <c r="B5" s="16"/>
      <c r="C5" s="32" t="n">
        <f aca="false">INT((C3-1)/12)+1</f>
        <v>1</v>
      </c>
      <c r="D5" s="32" t="n">
        <f aca="false">INT((D3-1)/12)+1</f>
        <v>1</v>
      </c>
      <c r="E5" s="32" t="n">
        <f aca="false">INT((E3-1)/12)+1</f>
        <v>1</v>
      </c>
      <c r="F5" s="32" t="n">
        <f aca="false">INT((F3-1)/12)+1</f>
        <v>1</v>
      </c>
      <c r="G5" s="32" t="n">
        <f aca="false">INT((G3-1)/12)+1</f>
        <v>1</v>
      </c>
      <c r="H5" s="32" t="n">
        <f aca="false">INT((H3-1)/12)+1</f>
        <v>1</v>
      </c>
      <c r="I5" s="32" t="n">
        <f aca="false">INT((I3-1)/12)+1</f>
        <v>1</v>
      </c>
      <c r="J5" s="32" t="n">
        <f aca="false">INT((J3-1)/12)+1</f>
        <v>1</v>
      </c>
      <c r="K5" s="32" t="n">
        <f aca="false">INT((K3-1)/12)+1</f>
        <v>1</v>
      </c>
      <c r="L5" s="32" t="n">
        <f aca="false">INT((L3-1)/12)+1</f>
        <v>1</v>
      </c>
      <c r="M5" s="32" t="n">
        <f aca="false">INT((M3-1)/12)+1</f>
        <v>1</v>
      </c>
      <c r="N5" s="32" t="n">
        <f aca="false">INT((N3-1)/12)+1</f>
        <v>1</v>
      </c>
      <c r="O5" s="32" t="n">
        <f aca="false">INT((O3-1)/12)+1</f>
        <v>2</v>
      </c>
      <c r="P5" s="32" t="n">
        <f aca="false">INT((P3-1)/12)+1</f>
        <v>2</v>
      </c>
      <c r="Q5" s="32" t="n">
        <f aca="false">INT((Q3-1)/12)+1</f>
        <v>2</v>
      </c>
      <c r="R5" s="32" t="n">
        <f aca="false">INT((R3-1)/12)+1</f>
        <v>2</v>
      </c>
      <c r="S5" s="32" t="n">
        <f aca="false">INT((S3-1)/12)+1</f>
        <v>2</v>
      </c>
      <c r="T5" s="32" t="n">
        <f aca="false">INT((T3-1)/12)+1</f>
        <v>2</v>
      </c>
      <c r="U5" s="32" t="n">
        <f aca="false">INT((U3-1)/12)+1</f>
        <v>2</v>
      </c>
      <c r="V5" s="32" t="n">
        <f aca="false">INT((V3-1)/12)+1</f>
        <v>2</v>
      </c>
      <c r="W5" s="32" t="n">
        <f aca="false">INT((W3-1)/12)+1</f>
        <v>2</v>
      </c>
      <c r="X5" s="32" t="n">
        <f aca="false">INT((X3-1)/12)+1</f>
        <v>2</v>
      </c>
      <c r="Y5" s="32" t="n">
        <f aca="false">INT((Y3-1)/12)+1</f>
        <v>2</v>
      </c>
      <c r="Z5" s="32" t="n">
        <f aca="false">INT((Z3-1)/12)+1</f>
        <v>2</v>
      </c>
      <c r="AA5" s="32" t="n">
        <f aca="false">INT((AA3-1)/12)+1</f>
        <v>3</v>
      </c>
      <c r="AB5" s="32" t="n">
        <f aca="false">INT((AB3-1)/12)+1</f>
        <v>3</v>
      </c>
      <c r="AC5" s="32" t="n">
        <f aca="false">INT((AC3-1)/12)+1</f>
        <v>3</v>
      </c>
      <c r="AD5" s="32" t="n">
        <f aca="false">INT((AD3-1)/12)+1</f>
        <v>3</v>
      </c>
      <c r="AE5" s="32" t="n">
        <f aca="false">INT((AE3-1)/12)+1</f>
        <v>3</v>
      </c>
      <c r="AF5" s="32" t="n">
        <f aca="false">INT((AF3-1)/12)+1</f>
        <v>3</v>
      </c>
      <c r="AG5" s="32" t="n">
        <f aca="false">INT((AG3-1)/12)+1</f>
        <v>3</v>
      </c>
      <c r="AH5" s="32" t="n">
        <f aca="false">INT((AH3-1)/12)+1</f>
        <v>3</v>
      </c>
      <c r="AI5" s="32" t="n">
        <f aca="false">INT((AI3-1)/12)+1</f>
        <v>3</v>
      </c>
      <c r="AJ5" s="32" t="n">
        <f aca="false">INT((AJ3-1)/12)+1</f>
        <v>3</v>
      </c>
      <c r="AK5" s="32" t="n">
        <f aca="false">INT((AK3-1)/12)+1</f>
        <v>3</v>
      </c>
      <c r="AL5" s="32" t="n">
        <f aca="false">INT((AL3-1)/12)+1</f>
        <v>3</v>
      </c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customFormat="false" ht="15" hidden="false" customHeight="false" outlineLevel="0" collapsed="false">
      <c r="A7" s="15" t="s">
        <v>221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</row>
    <row r="8" customFormat="false" ht="15" hidden="false" customHeight="false" outlineLevel="0" collapsed="false">
      <c r="A8" s="1" t="s">
        <v>222</v>
      </c>
      <c r="B8" s="13" t="s">
        <v>187</v>
      </c>
      <c r="C8" s="34" t="n">
        <f aca="false">IF(C$3=in_PilotConvMonth,in_PilotPractices*in_PilotFirmsPerPractice*in_PilotConv,0)</f>
        <v>0</v>
      </c>
      <c r="D8" s="34" t="n">
        <f aca="false">IF(D$3=in_PilotConvMonth,in_PilotPractices*in_PilotFirmsPerPractice*in_PilotConv,0)</f>
        <v>0</v>
      </c>
      <c r="E8" s="34" t="n">
        <f aca="false">IF(E$3=in_PilotConvMonth,in_PilotPractices*in_PilotFirmsPerPractice*in_PilotConv,0)</f>
        <v>0</v>
      </c>
      <c r="F8" s="34" t="n">
        <f aca="false">IF(F$3=in_PilotConvMonth,in_PilotPractices*in_PilotFirmsPerPractice*in_PilotConv,0)</f>
        <v>6</v>
      </c>
      <c r="G8" s="34" t="n">
        <f aca="false">IF(G$3=in_PilotConvMonth,in_PilotPractices*in_PilotFirmsPerPractice*in_PilotConv,0)</f>
        <v>0</v>
      </c>
      <c r="H8" s="34" t="n">
        <f aca="false">IF(H$3=in_PilotConvMonth,in_PilotPractices*in_PilotFirmsPerPractice*in_PilotConv,0)</f>
        <v>0</v>
      </c>
      <c r="I8" s="34" t="n">
        <f aca="false">IF(I$3=in_PilotConvMonth,in_PilotPractices*in_PilotFirmsPerPractice*in_PilotConv,0)</f>
        <v>0</v>
      </c>
      <c r="J8" s="34" t="n">
        <f aca="false">IF(J$3=in_PilotConvMonth,in_PilotPractices*in_PilotFirmsPerPractice*in_PilotConv,0)</f>
        <v>0</v>
      </c>
      <c r="K8" s="34" t="n">
        <f aca="false">IF(K$3=in_PilotConvMonth,in_PilotPractices*in_PilotFirmsPerPractice*in_PilotConv,0)</f>
        <v>0</v>
      </c>
      <c r="L8" s="34" t="n">
        <f aca="false">IF(L$3=in_PilotConvMonth,in_PilotPractices*in_PilotFirmsPerPractice*in_PilotConv,0)</f>
        <v>0</v>
      </c>
      <c r="M8" s="34" t="n">
        <f aca="false">IF(M$3=in_PilotConvMonth,in_PilotPractices*in_PilotFirmsPerPractice*in_PilotConv,0)</f>
        <v>0</v>
      </c>
      <c r="N8" s="34" t="n">
        <f aca="false">IF(N$3=in_PilotConvMonth,in_PilotPractices*in_PilotFirmsPerPractice*in_PilotConv,0)</f>
        <v>0</v>
      </c>
      <c r="O8" s="34" t="n">
        <f aca="false">IF(O$3=in_PilotConvMonth,in_PilotPractices*in_PilotFirmsPerPractice*in_PilotConv,0)</f>
        <v>0</v>
      </c>
      <c r="P8" s="34" t="n">
        <f aca="false">IF(P$3=in_PilotConvMonth,in_PilotPractices*in_PilotFirmsPerPractice*in_PilotConv,0)</f>
        <v>0</v>
      </c>
      <c r="Q8" s="34" t="n">
        <f aca="false">IF(Q$3=in_PilotConvMonth,in_PilotPractices*in_PilotFirmsPerPractice*in_PilotConv,0)</f>
        <v>0</v>
      </c>
      <c r="R8" s="34" t="n">
        <f aca="false">IF(R$3=in_PilotConvMonth,in_PilotPractices*in_PilotFirmsPerPractice*in_PilotConv,0)</f>
        <v>0</v>
      </c>
      <c r="S8" s="34" t="n">
        <f aca="false">IF(S$3=in_PilotConvMonth,in_PilotPractices*in_PilotFirmsPerPractice*in_PilotConv,0)</f>
        <v>0</v>
      </c>
      <c r="T8" s="34" t="n">
        <f aca="false">IF(T$3=in_PilotConvMonth,in_PilotPractices*in_PilotFirmsPerPractice*in_PilotConv,0)</f>
        <v>0</v>
      </c>
      <c r="U8" s="34" t="n">
        <f aca="false">IF(U$3=in_PilotConvMonth,in_PilotPractices*in_PilotFirmsPerPractice*in_PilotConv,0)</f>
        <v>0</v>
      </c>
      <c r="V8" s="34" t="n">
        <f aca="false">IF(V$3=in_PilotConvMonth,in_PilotPractices*in_PilotFirmsPerPractice*in_PilotConv,0)</f>
        <v>0</v>
      </c>
      <c r="W8" s="34" t="n">
        <f aca="false">IF(W$3=in_PilotConvMonth,in_PilotPractices*in_PilotFirmsPerPractice*in_PilotConv,0)</f>
        <v>0</v>
      </c>
      <c r="X8" s="34" t="n">
        <f aca="false">IF(X$3=in_PilotConvMonth,in_PilotPractices*in_PilotFirmsPerPractice*in_PilotConv,0)</f>
        <v>0</v>
      </c>
      <c r="Y8" s="34" t="n">
        <f aca="false">IF(Y$3=in_PilotConvMonth,in_PilotPractices*in_PilotFirmsPerPractice*in_PilotConv,0)</f>
        <v>0</v>
      </c>
      <c r="Z8" s="34" t="n">
        <f aca="false">IF(Z$3=in_PilotConvMonth,in_PilotPractices*in_PilotFirmsPerPractice*in_PilotConv,0)</f>
        <v>0</v>
      </c>
      <c r="AA8" s="34" t="n">
        <f aca="false">IF(AA$3=in_PilotConvMonth,in_PilotPractices*in_PilotFirmsPerPractice*in_PilotConv,0)</f>
        <v>0</v>
      </c>
      <c r="AB8" s="34" t="n">
        <f aca="false">IF(AB$3=in_PilotConvMonth,in_PilotPractices*in_PilotFirmsPerPractice*in_PilotConv,0)</f>
        <v>0</v>
      </c>
      <c r="AC8" s="34" t="n">
        <f aca="false">IF(AC$3=in_PilotConvMonth,in_PilotPractices*in_PilotFirmsPerPractice*in_PilotConv,0)</f>
        <v>0</v>
      </c>
      <c r="AD8" s="34" t="n">
        <f aca="false">IF(AD$3=in_PilotConvMonth,in_PilotPractices*in_PilotFirmsPerPractice*in_PilotConv,0)</f>
        <v>0</v>
      </c>
      <c r="AE8" s="34" t="n">
        <f aca="false">IF(AE$3=in_PilotConvMonth,in_PilotPractices*in_PilotFirmsPerPractice*in_PilotConv,0)</f>
        <v>0</v>
      </c>
      <c r="AF8" s="34" t="n">
        <f aca="false">IF(AF$3=in_PilotConvMonth,in_PilotPractices*in_PilotFirmsPerPractice*in_PilotConv,0)</f>
        <v>0</v>
      </c>
      <c r="AG8" s="34" t="n">
        <f aca="false">IF(AG$3=in_PilotConvMonth,in_PilotPractices*in_PilotFirmsPerPractice*in_PilotConv,0)</f>
        <v>0</v>
      </c>
      <c r="AH8" s="34" t="n">
        <f aca="false">IF(AH$3=in_PilotConvMonth,in_PilotPractices*in_PilotFirmsPerPractice*in_PilotConv,0)</f>
        <v>0</v>
      </c>
      <c r="AI8" s="34" t="n">
        <f aca="false">IF(AI$3=in_PilotConvMonth,in_PilotPractices*in_PilotFirmsPerPractice*in_PilotConv,0)</f>
        <v>0</v>
      </c>
      <c r="AJ8" s="34" t="n">
        <f aca="false">IF(AJ$3=in_PilotConvMonth,in_PilotPractices*in_PilotFirmsPerPractice*in_PilotConv,0)</f>
        <v>0</v>
      </c>
      <c r="AK8" s="34" t="n">
        <f aca="false">IF(AK$3=in_PilotConvMonth,in_PilotPractices*in_PilotFirmsPerPractice*in_PilotConv,0)</f>
        <v>0</v>
      </c>
      <c r="AL8" s="34" t="n">
        <f aca="false">IF(AL$3=in_PilotConvMonth,in_PilotPractices*in_PilotFirmsPerPractice*in_PilotConv,0)</f>
        <v>0</v>
      </c>
    </row>
    <row r="9" customFormat="false" ht="15" hidden="false" customHeight="false" outlineLevel="0" collapsed="false">
      <c r="A9" s="1" t="s">
        <v>223</v>
      </c>
      <c r="B9" s="13" t="s">
        <v>184</v>
      </c>
      <c r="C9" s="34" t="n">
        <f aca="false">IF(C$3&gt;=in_PartnerStart,CHOOSE(C$5,in_NewPartnersY1,in_NewPartnersY2,in_NewPartnersY3)*IF(C$3&gt;=in_SalesFullStart,1,in_SalesFTE),0)</f>
        <v>0</v>
      </c>
      <c r="D9" s="34" t="n">
        <f aca="false">IF(D$3&gt;=in_PartnerStart,CHOOSE(D$5,in_NewPartnersY1,in_NewPartnersY2,in_NewPartnersY3)*IF(D$3&gt;=in_SalesFullStart,1,in_SalesFTE),0)</f>
        <v>0</v>
      </c>
      <c r="E9" s="34" t="n">
        <f aca="false">IF(E$3&gt;=in_PartnerStart,CHOOSE(E$5,in_NewPartnersY1,in_NewPartnersY2,in_NewPartnersY3)*IF(E$3&gt;=in_SalesFullStart,1,in_SalesFTE),0)</f>
        <v>0</v>
      </c>
      <c r="F9" s="34" t="n">
        <f aca="false">IF(F$3&gt;=in_PartnerStart,CHOOSE(F$5,in_NewPartnersY1,in_NewPartnersY2,in_NewPartnersY3)*IF(F$3&gt;=in_SalesFullStart,1,in_SalesFTE),0)</f>
        <v>1</v>
      </c>
      <c r="G9" s="34" t="n">
        <f aca="false">IF(G$3&gt;=in_PartnerStart,CHOOSE(G$5,in_NewPartnersY1,in_NewPartnersY2,in_NewPartnersY3)*IF(G$3&gt;=in_SalesFullStart,1,in_SalesFTE),0)</f>
        <v>1</v>
      </c>
      <c r="H9" s="34" t="n">
        <f aca="false">IF(H$3&gt;=in_PartnerStart,CHOOSE(H$5,in_NewPartnersY1,in_NewPartnersY2,in_NewPartnersY3)*IF(H$3&gt;=in_SalesFullStart,1,in_SalesFTE),0)</f>
        <v>1</v>
      </c>
      <c r="I9" s="34" t="n">
        <f aca="false">IF(I$3&gt;=in_PartnerStart,CHOOSE(I$5,in_NewPartnersY1,in_NewPartnersY2,in_NewPartnersY3)*IF(I$3&gt;=in_SalesFullStart,1,in_SalesFTE),0)</f>
        <v>1</v>
      </c>
      <c r="J9" s="34" t="n">
        <f aca="false">IF(J$3&gt;=in_PartnerStart,CHOOSE(J$5,in_NewPartnersY1,in_NewPartnersY2,in_NewPartnersY3)*IF(J$3&gt;=in_SalesFullStart,1,in_SalesFTE),0)</f>
        <v>1</v>
      </c>
      <c r="K9" s="34" t="n">
        <f aca="false">IF(K$3&gt;=in_PartnerStart,CHOOSE(K$5,in_NewPartnersY1,in_NewPartnersY2,in_NewPartnersY3)*IF(K$3&gt;=in_SalesFullStart,1,in_SalesFTE),0)</f>
        <v>1</v>
      </c>
      <c r="L9" s="34" t="n">
        <f aca="false">IF(L$3&gt;=in_PartnerStart,CHOOSE(L$5,in_NewPartnersY1,in_NewPartnersY2,in_NewPartnersY3)*IF(L$3&gt;=in_SalesFullStart,1,in_SalesFTE),0)</f>
        <v>1</v>
      </c>
      <c r="M9" s="34" t="n">
        <f aca="false">IF(M$3&gt;=in_PartnerStart,CHOOSE(M$5,in_NewPartnersY1,in_NewPartnersY2,in_NewPartnersY3)*IF(M$3&gt;=in_SalesFullStart,1,in_SalesFTE),0)</f>
        <v>1</v>
      </c>
      <c r="N9" s="34" t="n">
        <f aca="false">IF(N$3&gt;=in_PartnerStart,CHOOSE(N$5,in_NewPartnersY1,in_NewPartnersY2,in_NewPartnersY3)*IF(N$3&gt;=in_SalesFullStart,1,in_SalesFTE),0)</f>
        <v>1</v>
      </c>
      <c r="O9" s="34" t="n">
        <f aca="false">IF(O$3&gt;=in_PartnerStart,CHOOSE(O$5,in_NewPartnersY1,in_NewPartnersY2,in_NewPartnersY3)*IF(O$3&gt;=in_SalesFullStart,1,in_SalesFTE),0)</f>
        <v>3</v>
      </c>
      <c r="P9" s="34" t="n">
        <f aca="false">IF(P$3&gt;=in_PartnerStart,CHOOSE(P$5,in_NewPartnersY1,in_NewPartnersY2,in_NewPartnersY3)*IF(P$3&gt;=in_SalesFullStart,1,in_SalesFTE),0)</f>
        <v>3</v>
      </c>
      <c r="Q9" s="34" t="n">
        <f aca="false">IF(Q$3&gt;=in_PartnerStart,CHOOSE(Q$5,in_NewPartnersY1,in_NewPartnersY2,in_NewPartnersY3)*IF(Q$3&gt;=in_SalesFullStart,1,in_SalesFTE),0)</f>
        <v>3</v>
      </c>
      <c r="R9" s="34" t="n">
        <f aca="false">IF(R$3&gt;=in_PartnerStart,CHOOSE(R$5,in_NewPartnersY1,in_NewPartnersY2,in_NewPartnersY3)*IF(R$3&gt;=in_SalesFullStart,1,in_SalesFTE),0)</f>
        <v>3</v>
      </c>
      <c r="S9" s="34" t="n">
        <f aca="false">IF(S$3&gt;=in_PartnerStart,CHOOSE(S$5,in_NewPartnersY1,in_NewPartnersY2,in_NewPartnersY3)*IF(S$3&gt;=in_SalesFullStart,1,in_SalesFTE),0)</f>
        <v>3</v>
      </c>
      <c r="T9" s="34" t="n">
        <f aca="false">IF(T$3&gt;=in_PartnerStart,CHOOSE(T$5,in_NewPartnersY1,in_NewPartnersY2,in_NewPartnersY3)*IF(T$3&gt;=in_SalesFullStart,1,in_SalesFTE),0)</f>
        <v>3</v>
      </c>
      <c r="U9" s="34" t="n">
        <f aca="false">IF(U$3&gt;=in_PartnerStart,CHOOSE(U$5,in_NewPartnersY1,in_NewPartnersY2,in_NewPartnersY3)*IF(U$3&gt;=in_SalesFullStart,1,in_SalesFTE),0)</f>
        <v>3</v>
      </c>
      <c r="V9" s="34" t="n">
        <f aca="false">IF(V$3&gt;=in_PartnerStart,CHOOSE(V$5,in_NewPartnersY1,in_NewPartnersY2,in_NewPartnersY3)*IF(V$3&gt;=in_SalesFullStart,1,in_SalesFTE),0)</f>
        <v>3</v>
      </c>
      <c r="W9" s="34" t="n">
        <f aca="false">IF(W$3&gt;=in_PartnerStart,CHOOSE(W$5,in_NewPartnersY1,in_NewPartnersY2,in_NewPartnersY3)*IF(W$3&gt;=in_SalesFullStart,1,in_SalesFTE),0)</f>
        <v>3</v>
      </c>
      <c r="X9" s="34" t="n">
        <f aca="false">IF(X$3&gt;=in_PartnerStart,CHOOSE(X$5,in_NewPartnersY1,in_NewPartnersY2,in_NewPartnersY3)*IF(X$3&gt;=in_SalesFullStart,1,in_SalesFTE),0)</f>
        <v>3</v>
      </c>
      <c r="Y9" s="34" t="n">
        <f aca="false">IF(Y$3&gt;=in_PartnerStart,CHOOSE(Y$5,in_NewPartnersY1,in_NewPartnersY2,in_NewPartnersY3)*IF(Y$3&gt;=in_SalesFullStart,1,in_SalesFTE),0)</f>
        <v>3</v>
      </c>
      <c r="Z9" s="34" t="n">
        <f aca="false">IF(Z$3&gt;=in_PartnerStart,CHOOSE(Z$5,in_NewPartnersY1,in_NewPartnersY2,in_NewPartnersY3)*IF(Z$3&gt;=in_SalesFullStart,1,in_SalesFTE),0)</f>
        <v>3</v>
      </c>
      <c r="AA9" s="34" t="n">
        <f aca="false">IF(AA$3&gt;=in_PartnerStart,CHOOSE(AA$5,in_NewPartnersY1,in_NewPartnersY2,in_NewPartnersY3)*IF(AA$3&gt;=in_SalesFullStart,1,in_SalesFTE),0)</f>
        <v>4</v>
      </c>
      <c r="AB9" s="34" t="n">
        <f aca="false">IF(AB$3&gt;=in_PartnerStart,CHOOSE(AB$5,in_NewPartnersY1,in_NewPartnersY2,in_NewPartnersY3)*IF(AB$3&gt;=in_SalesFullStart,1,in_SalesFTE),0)</f>
        <v>4</v>
      </c>
      <c r="AC9" s="34" t="n">
        <f aca="false">IF(AC$3&gt;=in_PartnerStart,CHOOSE(AC$5,in_NewPartnersY1,in_NewPartnersY2,in_NewPartnersY3)*IF(AC$3&gt;=in_SalesFullStart,1,in_SalesFTE),0)</f>
        <v>4</v>
      </c>
      <c r="AD9" s="34" t="n">
        <f aca="false">IF(AD$3&gt;=in_PartnerStart,CHOOSE(AD$5,in_NewPartnersY1,in_NewPartnersY2,in_NewPartnersY3)*IF(AD$3&gt;=in_SalesFullStart,1,in_SalesFTE),0)</f>
        <v>4</v>
      </c>
      <c r="AE9" s="34" t="n">
        <f aca="false">IF(AE$3&gt;=in_PartnerStart,CHOOSE(AE$5,in_NewPartnersY1,in_NewPartnersY2,in_NewPartnersY3)*IF(AE$3&gt;=in_SalesFullStart,1,in_SalesFTE),0)</f>
        <v>4</v>
      </c>
      <c r="AF9" s="34" t="n">
        <f aca="false">IF(AF$3&gt;=in_PartnerStart,CHOOSE(AF$5,in_NewPartnersY1,in_NewPartnersY2,in_NewPartnersY3)*IF(AF$3&gt;=in_SalesFullStart,1,in_SalesFTE),0)</f>
        <v>4</v>
      </c>
      <c r="AG9" s="34" t="n">
        <f aca="false">IF(AG$3&gt;=in_PartnerStart,CHOOSE(AG$5,in_NewPartnersY1,in_NewPartnersY2,in_NewPartnersY3)*IF(AG$3&gt;=in_SalesFullStart,1,in_SalesFTE),0)</f>
        <v>4</v>
      </c>
      <c r="AH9" s="34" t="n">
        <f aca="false">IF(AH$3&gt;=in_PartnerStart,CHOOSE(AH$5,in_NewPartnersY1,in_NewPartnersY2,in_NewPartnersY3)*IF(AH$3&gt;=in_SalesFullStart,1,in_SalesFTE),0)</f>
        <v>4</v>
      </c>
      <c r="AI9" s="34" t="n">
        <f aca="false">IF(AI$3&gt;=in_PartnerStart,CHOOSE(AI$5,in_NewPartnersY1,in_NewPartnersY2,in_NewPartnersY3)*IF(AI$3&gt;=in_SalesFullStart,1,in_SalesFTE),0)</f>
        <v>4</v>
      </c>
      <c r="AJ9" s="34" t="n">
        <f aca="false">IF(AJ$3&gt;=in_PartnerStart,CHOOSE(AJ$5,in_NewPartnersY1,in_NewPartnersY2,in_NewPartnersY3)*IF(AJ$3&gt;=in_SalesFullStart,1,in_SalesFTE),0)</f>
        <v>4</v>
      </c>
      <c r="AK9" s="34" t="n">
        <f aca="false">IF(AK$3&gt;=in_PartnerStart,CHOOSE(AK$5,in_NewPartnersY1,in_NewPartnersY2,in_NewPartnersY3)*IF(AK$3&gt;=in_SalesFullStart,1,in_SalesFTE),0)</f>
        <v>4</v>
      </c>
      <c r="AL9" s="34" t="n">
        <f aca="false">IF(AL$3&gt;=in_PartnerStart,CHOOSE(AL$5,in_NewPartnersY1,in_NewPartnersY2,in_NewPartnersY3)*IF(AL$3&gt;=in_SalesFullStart,1,in_SalesFTE),0)</f>
        <v>4</v>
      </c>
    </row>
    <row r="10" customFormat="false" ht="15" hidden="false" customHeight="false" outlineLevel="0" collapsed="false">
      <c r="A10" s="1" t="s">
        <v>224</v>
      </c>
      <c r="B10" s="13" t="s">
        <v>184</v>
      </c>
      <c r="C10" s="34" t="n">
        <f aca="false">0+C9+IF(C$3=in_PilotConvMonth,in_PilotPractices,0)</f>
        <v>0</v>
      </c>
      <c r="D10" s="34" t="n">
        <f aca="false">C10+D9+IF(D$3=in_PilotConvMonth,in_PilotPractices,0)</f>
        <v>0</v>
      </c>
      <c r="E10" s="34" t="n">
        <f aca="false">D10+E9+IF(E$3=in_PilotConvMonth,in_PilotPractices,0)</f>
        <v>0</v>
      </c>
      <c r="F10" s="34" t="n">
        <f aca="false">E10+F9+IF(F$3=in_PilotConvMonth,in_PilotPractices,0)</f>
        <v>7</v>
      </c>
      <c r="G10" s="34" t="n">
        <f aca="false">F10+G9+IF(G$3=in_PilotConvMonth,in_PilotPractices,0)</f>
        <v>8</v>
      </c>
      <c r="H10" s="34" t="n">
        <f aca="false">G10+H9+IF(H$3=in_PilotConvMonth,in_PilotPractices,0)</f>
        <v>9</v>
      </c>
      <c r="I10" s="34" t="n">
        <f aca="false">H10+I9+IF(I$3=in_PilotConvMonth,in_PilotPractices,0)</f>
        <v>10</v>
      </c>
      <c r="J10" s="34" t="n">
        <f aca="false">I10+J9+IF(J$3=in_PilotConvMonth,in_PilotPractices,0)</f>
        <v>11</v>
      </c>
      <c r="K10" s="34" t="n">
        <f aca="false">J10+K9+IF(K$3=in_PilotConvMonth,in_PilotPractices,0)</f>
        <v>12</v>
      </c>
      <c r="L10" s="34" t="n">
        <f aca="false">K10+L9+IF(L$3=in_PilotConvMonth,in_PilotPractices,0)</f>
        <v>13</v>
      </c>
      <c r="M10" s="34" t="n">
        <f aca="false">L10+M9+IF(M$3=in_PilotConvMonth,in_PilotPractices,0)</f>
        <v>14</v>
      </c>
      <c r="N10" s="34" t="n">
        <f aca="false">M10+N9+IF(N$3=in_PilotConvMonth,in_PilotPractices,0)</f>
        <v>15</v>
      </c>
      <c r="O10" s="34" t="n">
        <f aca="false">N10+O9+IF(O$3=in_PilotConvMonth,in_PilotPractices,0)</f>
        <v>18</v>
      </c>
      <c r="P10" s="34" t="n">
        <f aca="false">O10+P9+IF(P$3=in_PilotConvMonth,in_PilotPractices,0)</f>
        <v>21</v>
      </c>
      <c r="Q10" s="34" t="n">
        <f aca="false">P10+Q9+IF(Q$3=in_PilotConvMonth,in_PilotPractices,0)</f>
        <v>24</v>
      </c>
      <c r="R10" s="34" t="n">
        <f aca="false">Q10+R9+IF(R$3=in_PilotConvMonth,in_PilotPractices,0)</f>
        <v>27</v>
      </c>
      <c r="S10" s="34" t="n">
        <f aca="false">R10+S9+IF(S$3=in_PilotConvMonth,in_PilotPractices,0)</f>
        <v>30</v>
      </c>
      <c r="T10" s="34" t="n">
        <f aca="false">S10+T9+IF(T$3=in_PilotConvMonth,in_PilotPractices,0)</f>
        <v>33</v>
      </c>
      <c r="U10" s="34" t="n">
        <f aca="false">T10+U9+IF(U$3=in_PilotConvMonth,in_PilotPractices,0)</f>
        <v>36</v>
      </c>
      <c r="V10" s="34" t="n">
        <f aca="false">U10+V9+IF(V$3=in_PilotConvMonth,in_PilotPractices,0)</f>
        <v>39</v>
      </c>
      <c r="W10" s="34" t="n">
        <f aca="false">V10+W9+IF(W$3=in_PilotConvMonth,in_PilotPractices,0)</f>
        <v>42</v>
      </c>
      <c r="X10" s="34" t="n">
        <f aca="false">W10+X9+IF(X$3=in_PilotConvMonth,in_PilotPractices,0)</f>
        <v>45</v>
      </c>
      <c r="Y10" s="34" t="n">
        <f aca="false">X10+Y9+IF(Y$3=in_PilotConvMonth,in_PilotPractices,0)</f>
        <v>48</v>
      </c>
      <c r="Z10" s="34" t="n">
        <f aca="false">Y10+Z9+IF(Z$3=in_PilotConvMonth,in_PilotPractices,0)</f>
        <v>51</v>
      </c>
      <c r="AA10" s="34" t="n">
        <f aca="false">Z10+AA9+IF(AA$3=in_PilotConvMonth,in_PilotPractices,0)</f>
        <v>55</v>
      </c>
      <c r="AB10" s="34" t="n">
        <f aca="false">AA10+AB9+IF(AB$3=in_PilotConvMonth,in_PilotPractices,0)</f>
        <v>59</v>
      </c>
      <c r="AC10" s="34" t="n">
        <f aca="false">AB10+AC9+IF(AC$3=in_PilotConvMonth,in_PilotPractices,0)</f>
        <v>63</v>
      </c>
      <c r="AD10" s="34" t="n">
        <f aca="false">AC10+AD9+IF(AD$3=in_PilotConvMonth,in_PilotPractices,0)</f>
        <v>67</v>
      </c>
      <c r="AE10" s="34" t="n">
        <f aca="false">AD10+AE9+IF(AE$3=in_PilotConvMonth,in_PilotPractices,0)</f>
        <v>71</v>
      </c>
      <c r="AF10" s="34" t="n">
        <f aca="false">AE10+AF9+IF(AF$3=in_PilotConvMonth,in_PilotPractices,0)</f>
        <v>75</v>
      </c>
      <c r="AG10" s="34" t="n">
        <f aca="false">AF10+AG9+IF(AG$3=in_PilotConvMonth,in_PilotPractices,0)</f>
        <v>79</v>
      </c>
      <c r="AH10" s="34" t="n">
        <f aca="false">AG10+AH9+IF(AH$3=in_PilotConvMonth,in_PilotPractices,0)</f>
        <v>83</v>
      </c>
      <c r="AI10" s="34" t="n">
        <f aca="false">AH10+AI9+IF(AI$3=in_PilotConvMonth,in_PilotPractices,0)</f>
        <v>87</v>
      </c>
      <c r="AJ10" s="34" t="n">
        <f aca="false">AI10+AJ9+IF(AJ$3=in_PilotConvMonth,in_PilotPractices,0)</f>
        <v>91</v>
      </c>
      <c r="AK10" s="34" t="n">
        <f aca="false">AJ10+AK9+IF(AK$3=in_PilotConvMonth,in_PilotPractices,0)</f>
        <v>95</v>
      </c>
      <c r="AL10" s="34" t="n">
        <f aca="false">AK10+AL9+IF(AL$3=in_PilotConvMonth,in_PilotPractices,0)</f>
        <v>99</v>
      </c>
    </row>
    <row r="11" customFormat="false" ht="15" hidden="false" customHeight="false" outlineLevel="0" collapsed="false">
      <c r="A11" s="1" t="s">
        <v>225</v>
      </c>
      <c r="B11" s="13" t="s">
        <v>187</v>
      </c>
      <c r="C11" s="34" t="n">
        <f aca="false">0*in_RefRate</f>
        <v>0</v>
      </c>
      <c r="D11" s="34" t="n">
        <f aca="false">C10*in_RefRate</f>
        <v>0</v>
      </c>
      <c r="E11" s="34" t="n">
        <f aca="false">D10*in_RefRate</f>
        <v>0</v>
      </c>
      <c r="F11" s="34" t="n">
        <f aca="false">E10*in_RefRate</f>
        <v>0</v>
      </c>
      <c r="G11" s="34" t="n">
        <f aca="false">F10*in_RefRate</f>
        <v>1.4</v>
      </c>
      <c r="H11" s="34" t="n">
        <f aca="false">G10*in_RefRate</f>
        <v>1.6</v>
      </c>
      <c r="I11" s="34" t="n">
        <f aca="false">H10*in_RefRate</f>
        <v>1.8</v>
      </c>
      <c r="J11" s="34" t="n">
        <f aca="false">I10*in_RefRate</f>
        <v>2</v>
      </c>
      <c r="K11" s="34" t="n">
        <f aca="false">J10*in_RefRate</f>
        <v>2.2</v>
      </c>
      <c r="L11" s="34" t="n">
        <f aca="false">K10*in_RefRate</f>
        <v>2.4</v>
      </c>
      <c r="M11" s="34" t="n">
        <f aca="false">L10*in_RefRate</f>
        <v>2.6</v>
      </c>
      <c r="N11" s="34" t="n">
        <f aca="false">M10*in_RefRate</f>
        <v>2.8</v>
      </c>
      <c r="O11" s="34" t="n">
        <f aca="false">N10*in_RefRate</f>
        <v>3</v>
      </c>
      <c r="P11" s="34" t="n">
        <f aca="false">O10*in_RefRate</f>
        <v>3.6</v>
      </c>
      <c r="Q11" s="34" t="n">
        <f aca="false">P10*in_RefRate</f>
        <v>4.2</v>
      </c>
      <c r="R11" s="34" t="n">
        <f aca="false">Q10*in_RefRate</f>
        <v>4.8</v>
      </c>
      <c r="S11" s="34" t="n">
        <f aca="false">R10*in_RefRate</f>
        <v>5.4</v>
      </c>
      <c r="T11" s="34" t="n">
        <f aca="false">S10*in_RefRate</f>
        <v>6</v>
      </c>
      <c r="U11" s="34" t="n">
        <f aca="false">T10*in_RefRate</f>
        <v>6.6</v>
      </c>
      <c r="V11" s="34" t="n">
        <f aca="false">U10*in_RefRate</f>
        <v>7.2</v>
      </c>
      <c r="W11" s="34" t="n">
        <f aca="false">V10*in_RefRate</f>
        <v>7.8</v>
      </c>
      <c r="X11" s="34" t="n">
        <f aca="false">W10*in_RefRate</f>
        <v>8.4</v>
      </c>
      <c r="Y11" s="34" t="n">
        <f aca="false">X10*in_RefRate</f>
        <v>9</v>
      </c>
      <c r="Z11" s="34" t="n">
        <f aca="false">Y10*in_RefRate</f>
        <v>9.6</v>
      </c>
      <c r="AA11" s="34" t="n">
        <f aca="false">Z10*in_RefRate</f>
        <v>10.2</v>
      </c>
      <c r="AB11" s="34" t="n">
        <f aca="false">AA10*in_RefRate</f>
        <v>11</v>
      </c>
      <c r="AC11" s="34" t="n">
        <f aca="false">AB10*in_RefRate</f>
        <v>11.8</v>
      </c>
      <c r="AD11" s="34" t="n">
        <f aca="false">AC10*in_RefRate</f>
        <v>12.6</v>
      </c>
      <c r="AE11" s="34" t="n">
        <f aca="false">AD10*in_RefRate</f>
        <v>13.4</v>
      </c>
      <c r="AF11" s="34" t="n">
        <f aca="false">AE10*in_RefRate</f>
        <v>14.2</v>
      </c>
      <c r="AG11" s="34" t="n">
        <f aca="false">AF10*in_RefRate</f>
        <v>15</v>
      </c>
      <c r="AH11" s="34" t="n">
        <f aca="false">AG10*in_RefRate</f>
        <v>15.8</v>
      </c>
      <c r="AI11" s="34" t="n">
        <f aca="false">AH10*in_RefRate</f>
        <v>16.6</v>
      </c>
      <c r="AJ11" s="34" t="n">
        <f aca="false">AI10*in_RefRate</f>
        <v>17.4</v>
      </c>
      <c r="AK11" s="34" t="n">
        <f aca="false">AJ10*in_RefRate</f>
        <v>18.2</v>
      </c>
      <c r="AL11" s="34" t="n">
        <f aca="false">AK10*in_RefRate</f>
        <v>19</v>
      </c>
    </row>
    <row r="12" customFormat="false" ht="15" hidden="false" customHeight="false" outlineLevel="0" collapsed="false">
      <c r="A12" s="1" t="s">
        <v>226</v>
      </c>
      <c r="B12" s="13" t="s">
        <v>187</v>
      </c>
      <c r="C12" s="34" t="n">
        <f aca="false">0*in_RefConv</f>
        <v>0</v>
      </c>
      <c r="D12" s="34" t="n">
        <f aca="false">C11*in_RefConv</f>
        <v>0</v>
      </c>
      <c r="E12" s="34" t="n">
        <f aca="false">D11*in_RefConv</f>
        <v>0</v>
      </c>
      <c r="F12" s="34" t="n">
        <f aca="false">E11*in_RefConv</f>
        <v>0</v>
      </c>
      <c r="G12" s="34" t="n">
        <f aca="false">F11*in_RefConv</f>
        <v>0</v>
      </c>
      <c r="H12" s="34" t="n">
        <f aca="false">G11*in_RefConv</f>
        <v>0.7</v>
      </c>
      <c r="I12" s="34" t="n">
        <f aca="false">H11*in_RefConv</f>
        <v>0.8</v>
      </c>
      <c r="J12" s="34" t="n">
        <f aca="false">I11*in_RefConv</f>
        <v>0.9</v>
      </c>
      <c r="K12" s="34" t="n">
        <f aca="false">J11*in_RefConv</f>
        <v>1</v>
      </c>
      <c r="L12" s="34" t="n">
        <f aca="false">K11*in_RefConv</f>
        <v>1.1</v>
      </c>
      <c r="M12" s="34" t="n">
        <f aca="false">L11*in_RefConv</f>
        <v>1.2</v>
      </c>
      <c r="N12" s="34" t="n">
        <f aca="false">M11*in_RefConv</f>
        <v>1.3</v>
      </c>
      <c r="O12" s="34" t="n">
        <f aca="false">N11*in_RefConv</f>
        <v>1.4</v>
      </c>
      <c r="P12" s="34" t="n">
        <f aca="false">O11*in_RefConv</f>
        <v>1.5</v>
      </c>
      <c r="Q12" s="34" t="n">
        <f aca="false">P11*in_RefConv</f>
        <v>1.8</v>
      </c>
      <c r="R12" s="34" t="n">
        <f aca="false">Q11*in_RefConv</f>
        <v>2.1</v>
      </c>
      <c r="S12" s="34" t="n">
        <f aca="false">R11*in_RefConv</f>
        <v>2.4</v>
      </c>
      <c r="T12" s="34" t="n">
        <f aca="false">S11*in_RefConv</f>
        <v>2.7</v>
      </c>
      <c r="U12" s="34" t="n">
        <f aca="false">T11*in_RefConv</f>
        <v>3</v>
      </c>
      <c r="V12" s="34" t="n">
        <f aca="false">U11*in_RefConv</f>
        <v>3.3</v>
      </c>
      <c r="W12" s="34" t="n">
        <f aca="false">V11*in_RefConv</f>
        <v>3.6</v>
      </c>
      <c r="X12" s="34" t="n">
        <f aca="false">W11*in_RefConv</f>
        <v>3.9</v>
      </c>
      <c r="Y12" s="34" t="n">
        <f aca="false">X11*in_RefConv</f>
        <v>4.2</v>
      </c>
      <c r="Z12" s="34" t="n">
        <f aca="false">Y11*in_RefConv</f>
        <v>4.5</v>
      </c>
      <c r="AA12" s="34" t="n">
        <f aca="false">Z11*in_RefConv</f>
        <v>4.8</v>
      </c>
      <c r="AB12" s="34" t="n">
        <f aca="false">AA11*in_RefConv</f>
        <v>5.1</v>
      </c>
      <c r="AC12" s="34" t="n">
        <f aca="false">AB11*in_RefConv</f>
        <v>5.5</v>
      </c>
      <c r="AD12" s="34" t="n">
        <f aca="false">AC11*in_RefConv</f>
        <v>5.9</v>
      </c>
      <c r="AE12" s="34" t="n">
        <f aca="false">AD11*in_RefConv</f>
        <v>6.3</v>
      </c>
      <c r="AF12" s="34" t="n">
        <f aca="false">AE11*in_RefConv</f>
        <v>6.7</v>
      </c>
      <c r="AG12" s="34" t="n">
        <f aca="false">AF11*in_RefConv</f>
        <v>7.1</v>
      </c>
      <c r="AH12" s="34" t="n">
        <f aca="false">AG11*in_RefConv</f>
        <v>7.5</v>
      </c>
      <c r="AI12" s="34" t="n">
        <f aca="false">AH11*in_RefConv</f>
        <v>7.9</v>
      </c>
      <c r="AJ12" s="34" t="n">
        <f aca="false">AI11*in_RefConv</f>
        <v>8.3</v>
      </c>
      <c r="AK12" s="34" t="n">
        <f aca="false">AJ11*in_RefConv</f>
        <v>8.7</v>
      </c>
      <c r="AL12" s="34" t="n">
        <f aca="false">AK11*in_RefConv</f>
        <v>9.1</v>
      </c>
    </row>
    <row r="13" customFormat="false" ht="15" hidden="false" customHeight="false" outlineLevel="0" collapsed="false">
      <c r="A13" s="1" t="s">
        <v>227</v>
      </c>
      <c r="B13" s="13" t="s">
        <v>201</v>
      </c>
      <c r="C13" s="34" t="n">
        <f aca="false">CHOOSE(C$5,in_OrganicY1,in_OrganicY2,in_OrganicY3)</f>
        <v>4</v>
      </c>
      <c r="D13" s="34" t="n">
        <f aca="false">CHOOSE(D$5,in_OrganicY1,in_OrganicY2,in_OrganicY3)</f>
        <v>4</v>
      </c>
      <c r="E13" s="34" t="n">
        <f aca="false">CHOOSE(E$5,in_OrganicY1,in_OrganicY2,in_OrganicY3)</f>
        <v>4</v>
      </c>
      <c r="F13" s="34" t="n">
        <f aca="false">CHOOSE(F$5,in_OrganicY1,in_OrganicY2,in_OrganicY3)</f>
        <v>4</v>
      </c>
      <c r="G13" s="34" t="n">
        <f aca="false">CHOOSE(G$5,in_OrganicY1,in_OrganicY2,in_OrganicY3)</f>
        <v>4</v>
      </c>
      <c r="H13" s="34" t="n">
        <f aca="false">CHOOSE(H$5,in_OrganicY1,in_OrganicY2,in_OrganicY3)</f>
        <v>4</v>
      </c>
      <c r="I13" s="34" t="n">
        <f aca="false">CHOOSE(I$5,in_OrganicY1,in_OrganicY2,in_OrganicY3)</f>
        <v>4</v>
      </c>
      <c r="J13" s="34" t="n">
        <f aca="false">CHOOSE(J$5,in_OrganicY1,in_OrganicY2,in_OrganicY3)</f>
        <v>4</v>
      </c>
      <c r="K13" s="34" t="n">
        <f aca="false">CHOOSE(K$5,in_OrganicY1,in_OrganicY2,in_OrganicY3)</f>
        <v>4</v>
      </c>
      <c r="L13" s="34" t="n">
        <f aca="false">CHOOSE(L$5,in_OrganicY1,in_OrganicY2,in_OrganicY3)</f>
        <v>4</v>
      </c>
      <c r="M13" s="34" t="n">
        <f aca="false">CHOOSE(M$5,in_OrganicY1,in_OrganicY2,in_OrganicY3)</f>
        <v>4</v>
      </c>
      <c r="N13" s="34" t="n">
        <f aca="false">CHOOSE(N$5,in_OrganicY1,in_OrganicY2,in_OrganicY3)</f>
        <v>4</v>
      </c>
      <c r="O13" s="34" t="n">
        <f aca="false">CHOOSE(O$5,in_OrganicY1,in_OrganicY2,in_OrganicY3)</f>
        <v>12</v>
      </c>
      <c r="P13" s="34" t="n">
        <f aca="false">CHOOSE(P$5,in_OrganicY1,in_OrganicY2,in_OrganicY3)</f>
        <v>12</v>
      </c>
      <c r="Q13" s="34" t="n">
        <f aca="false">CHOOSE(Q$5,in_OrganicY1,in_OrganicY2,in_OrganicY3)</f>
        <v>12</v>
      </c>
      <c r="R13" s="34" t="n">
        <f aca="false">CHOOSE(R$5,in_OrganicY1,in_OrganicY2,in_OrganicY3)</f>
        <v>12</v>
      </c>
      <c r="S13" s="34" t="n">
        <f aca="false">CHOOSE(S$5,in_OrganicY1,in_OrganicY2,in_OrganicY3)</f>
        <v>12</v>
      </c>
      <c r="T13" s="34" t="n">
        <f aca="false">CHOOSE(T$5,in_OrganicY1,in_OrganicY2,in_OrganicY3)</f>
        <v>12</v>
      </c>
      <c r="U13" s="34" t="n">
        <f aca="false">CHOOSE(U$5,in_OrganicY1,in_OrganicY2,in_OrganicY3)</f>
        <v>12</v>
      </c>
      <c r="V13" s="34" t="n">
        <f aca="false">CHOOSE(V$5,in_OrganicY1,in_OrganicY2,in_OrganicY3)</f>
        <v>12</v>
      </c>
      <c r="W13" s="34" t="n">
        <f aca="false">CHOOSE(W$5,in_OrganicY1,in_OrganicY2,in_OrganicY3)</f>
        <v>12</v>
      </c>
      <c r="X13" s="34" t="n">
        <f aca="false">CHOOSE(X$5,in_OrganicY1,in_OrganicY2,in_OrganicY3)</f>
        <v>12</v>
      </c>
      <c r="Y13" s="34" t="n">
        <f aca="false">CHOOSE(Y$5,in_OrganicY1,in_OrganicY2,in_OrganicY3)</f>
        <v>12</v>
      </c>
      <c r="Z13" s="34" t="n">
        <f aca="false">CHOOSE(Z$5,in_OrganicY1,in_OrganicY2,in_OrganicY3)</f>
        <v>12</v>
      </c>
      <c r="AA13" s="34" t="n">
        <f aca="false">CHOOSE(AA$5,in_OrganicY1,in_OrganicY2,in_OrganicY3)</f>
        <v>20</v>
      </c>
      <c r="AB13" s="34" t="n">
        <f aca="false">CHOOSE(AB$5,in_OrganicY1,in_OrganicY2,in_OrganicY3)</f>
        <v>20</v>
      </c>
      <c r="AC13" s="34" t="n">
        <f aca="false">CHOOSE(AC$5,in_OrganicY1,in_OrganicY2,in_OrganicY3)</f>
        <v>20</v>
      </c>
      <c r="AD13" s="34" t="n">
        <f aca="false">CHOOSE(AD$5,in_OrganicY1,in_OrganicY2,in_OrganicY3)</f>
        <v>20</v>
      </c>
      <c r="AE13" s="34" t="n">
        <f aca="false">CHOOSE(AE$5,in_OrganicY1,in_OrganicY2,in_OrganicY3)</f>
        <v>20</v>
      </c>
      <c r="AF13" s="34" t="n">
        <f aca="false">CHOOSE(AF$5,in_OrganicY1,in_OrganicY2,in_OrganicY3)</f>
        <v>20</v>
      </c>
      <c r="AG13" s="34" t="n">
        <f aca="false">CHOOSE(AG$5,in_OrganicY1,in_OrganicY2,in_OrganicY3)</f>
        <v>20</v>
      </c>
      <c r="AH13" s="34" t="n">
        <f aca="false">CHOOSE(AH$5,in_OrganicY1,in_OrganicY2,in_OrganicY3)</f>
        <v>20</v>
      </c>
      <c r="AI13" s="34" t="n">
        <f aca="false">CHOOSE(AI$5,in_OrganicY1,in_OrganicY2,in_OrganicY3)</f>
        <v>20</v>
      </c>
      <c r="AJ13" s="34" t="n">
        <f aca="false">CHOOSE(AJ$5,in_OrganicY1,in_OrganicY2,in_OrganicY3)</f>
        <v>20</v>
      </c>
      <c r="AK13" s="34" t="n">
        <f aca="false">CHOOSE(AK$5,in_OrganicY1,in_OrganicY2,in_OrganicY3)</f>
        <v>20</v>
      </c>
      <c r="AL13" s="34" t="n">
        <f aca="false">CHOOSE(AL$5,in_OrganicY1,in_OrganicY2,in_OrganicY3)</f>
        <v>20</v>
      </c>
    </row>
    <row r="14" customFormat="false" ht="15" hidden="false" customHeight="false" outlineLevel="0" collapsed="false">
      <c r="A14" s="1" t="s">
        <v>228</v>
      </c>
      <c r="B14" s="13" t="s">
        <v>201</v>
      </c>
      <c r="C14" s="30" t="n">
        <f aca="false">Costs!C21*in_PaidShare/in_CostPerTrial</f>
        <v>11.25</v>
      </c>
      <c r="D14" s="30" t="n">
        <f aca="false">Costs!D21*in_PaidShare/in_CostPerTrial</f>
        <v>11.25</v>
      </c>
      <c r="E14" s="30" t="n">
        <f aca="false">Costs!E21*in_PaidShare/in_CostPerTrial</f>
        <v>11.25</v>
      </c>
      <c r="F14" s="30" t="n">
        <f aca="false">Costs!F21*in_PaidShare/in_CostPerTrial</f>
        <v>11.25</v>
      </c>
      <c r="G14" s="30" t="n">
        <f aca="false">Costs!G21*in_PaidShare/in_CostPerTrial</f>
        <v>11.25</v>
      </c>
      <c r="H14" s="30" t="n">
        <f aca="false">Costs!H21*in_PaidShare/in_CostPerTrial</f>
        <v>11.25</v>
      </c>
      <c r="I14" s="30" t="n">
        <f aca="false">Costs!I21*in_PaidShare/in_CostPerTrial</f>
        <v>11.25</v>
      </c>
      <c r="J14" s="30" t="n">
        <f aca="false">Costs!J21*in_PaidShare/in_CostPerTrial</f>
        <v>11.25</v>
      </c>
      <c r="K14" s="30" t="n">
        <f aca="false">Costs!K21*in_PaidShare/in_CostPerTrial</f>
        <v>11.25</v>
      </c>
      <c r="L14" s="30" t="n">
        <f aca="false">Costs!L21*in_PaidShare/in_CostPerTrial</f>
        <v>11.25</v>
      </c>
      <c r="M14" s="30" t="n">
        <f aca="false">Costs!M21*in_PaidShare/in_CostPerTrial</f>
        <v>11.25</v>
      </c>
      <c r="N14" s="30" t="n">
        <f aca="false">Costs!N21*in_PaidShare/in_CostPerTrial</f>
        <v>11.25</v>
      </c>
      <c r="O14" s="30" t="n">
        <f aca="false">Costs!O21*in_PaidShare/in_CostPerTrial</f>
        <v>18.75</v>
      </c>
      <c r="P14" s="30" t="n">
        <f aca="false">Costs!P21*in_PaidShare/in_CostPerTrial</f>
        <v>18.75</v>
      </c>
      <c r="Q14" s="30" t="n">
        <f aca="false">Costs!Q21*in_PaidShare/in_CostPerTrial</f>
        <v>18.75</v>
      </c>
      <c r="R14" s="30" t="n">
        <f aca="false">Costs!R21*in_PaidShare/in_CostPerTrial</f>
        <v>18.75</v>
      </c>
      <c r="S14" s="30" t="n">
        <f aca="false">Costs!S21*in_PaidShare/in_CostPerTrial</f>
        <v>18.75</v>
      </c>
      <c r="T14" s="30" t="n">
        <f aca="false">Costs!T21*in_PaidShare/in_CostPerTrial</f>
        <v>18.75</v>
      </c>
      <c r="U14" s="30" t="n">
        <f aca="false">Costs!U21*in_PaidShare/in_CostPerTrial</f>
        <v>18.75</v>
      </c>
      <c r="V14" s="30" t="n">
        <f aca="false">Costs!V21*in_PaidShare/in_CostPerTrial</f>
        <v>18.75</v>
      </c>
      <c r="W14" s="30" t="n">
        <f aca="false">Costs!W21*in_PaidShare/in_CostPerTrial</f>
        <v>18.75</v>
      </c>
      <c r="X14" s="30" t="n">
        <f aca="false">Costs!X21*in_PaidShare/in_CostPerTrial</f>
        <v>18.75</v>
      </c>
      <c r="Y14" s="30" t="n">
        <f aca="false">Costs!Y21*in_PaidShare/in_CostPerTrial</f>
        <v>18.75</v>
      </c>
      <c r="Z14" s="30" t="n">
        <f aca="false">Costs!Z21*in_PaidShare/in_CostPerTrial</f>
        <v>18.75</v>
      </c>
      <c r="AA14" s="30" t="n">
        <f aca="false">Costs!AA21*in_PaidShare/in_CostPerTrial</f>
        <v>26.25</v>
      </c>
      <c r="AB14" s="30" t="n">
        <f aca="false">Costs!AB21*in_PaidShare/in_CostPerTrial</f>
        <v>26.25</v>
      </c>
      <c r="AC14" s="30" t="n">
        <f aca="false">Costs!AC21*in_PaidShare/in_CostPerTrial</f>
        <v>26.25</v>
      </c>
      <c r="AD14" s="30" t="n">
        <f aca="false">Costs!AD21*in_PaidShare/in_CostPerTrial</f>
        <v>26.25</v>
      </c>
      <c r="AE14" s="30" t="n">
        <f aca="false">Costs!AE21*in_PaidShare/in_CostPerTrial</f>
        <v>26.25</v>
      </c>
      <c r="AF14" s="30" t="n">
        <f aca="false">Costs!AF21*in_PaidShare/in_CostPerTrial</f>
        <v>26.25</v>
      </c>
      <c r="AG14" s="30" t="n">
        <f aca="false">Costs!AG21*in_PaidShare/in_CostPerTrial</f>
        <v>26.25</v>
      </c>
      <c r="AH14" s="30" t="n">
        <f aca="false">Costs!AH21*in_PaidShare/in_CostPerTrial</f>
        <v>26.25</v>
      </c>
      <c r="AI14" s="30" t="n">
        <f aca="false">Costs!AI21*in_PaidShare/in_CostPerTrial</f>
        <v>26.25</v>
      </c>
      <c r="AJ14" s="30" t="n">
        <f aca="false">Costs!AJ21*in_PaidShare/in_CostPerTrial</f>
        <v>26.25</v>
      </c>
      <c r="AK14" s="30" t="n">
        <f aca="false">Costs!AK21*in_PaidShare/in_CostPerTrial</f>
        <v>26.25</v>
      </c>
      <c r="AL14" s="30" t="n">
        <f aca="false">Costs!AL21*in_PaidShare/in_CostPerTrial</f>
        <v>26.25</v>
      </c>
    </row>
    <row r="15" customFormat="false" ht="15" hidden="false" customHeight="false" outlineLevel="0" collapsed="false">
      <c r="A15" s="1" t="s">
        <v>229</v>
      </c>
      <c r="B15" s="13" t="s">
        <v>187</v>
      </c>
      <c r="C15" s="34" t="n">
        <f aca="false">(0+0)*in_TrialConv</f>
        <v>0</v>
      </c>
      <c r="D15" s="34" t="n">
        <f aca="false">(C13+C14)*in_TrialConv</f>
        <v>3.8125</v>
      </c>
      <c r="E15" s="34" t="n">
        <f aca="false">(D13+D14)*in_TrialConv</f>
        <v>3.8125</v>
      </c>
      <c r="F15" s="34" t="n">
        <f aca="false">(E13+E14)*in_TrialConv</f>
        <v>3.8125</v>
      </c>
      <c r="G15" s="34" t="n">
        <f aca="false">(F13+F14)*in_TrialConv</f>
        <v>3.8125</v>
      </c>
      <c r="H15" s="34" t="n">
        <f aca="false">(G13+G14)*in_TrialConv</f>
        <v>3.8125</v>
      </c>
      <c r="I15" s="34" t="n">
        <f aca="false">(H13+H14)*in_TrialConv</f>
        <v>3.8125</v>
      </c>
      <c r="J15" s="34" t="n">
        <f aca="false">(I13+I14)*in_TrialConv</f>
        <v>3.8125</v>
      </c>
      <c r="K15" s="34" t="n">
        <f aca="false">(J13+J14)*in_TrialConv</f>
        <v>3.8125</v>
      </c>
      <c r="L15" s="34" t="n">
        <f aca="false">(K13+K14)*in_TrialConv</f>
        <v>3.8125</v>
      </c>
      <c r="M15" s="34" t="n">
        <f aca="false">(L13+L14)*in_TrialConv</f>
        <v>3.8125</v>
      </c>
      <c r="N15" s="34" t="n">
        <f aca="false">(M13+M14)*in_TrialConv</f>
        <v>3.8125</v>
      </c>
      <c r="O15" s="34" t="n">
        <f aca="false">(N13+N14)*in_TrialConv</f>
        <v>3.8125</v>
      </c>
      <c r="P15" s="34" t="n">
        <f aca="false">(O13+O14)*in_TrialConv</f>
        <v>7.6875</v>
      </c>
      <c r="Q15" s="34" t="n">
        <f aca="false">(P13+P14)*in_TrialConv</f>
        <v>7.6875</v>
      </c>
      <c r="R15" s="34" t="n">
        <f aca="false">(Q13+Q14)*in_TrialConv</f>
        <v>7.6875</v>
      </c>
      <c r="S15" s="34" t="n">
        <f aca="false">(R13+R14)*in_TrialConv</f>
        <v>7.6875</v>
      </c>
      <c r="T15" s="34" t="n">
        <f aca="false">(S13+S14)*in_TrialConv</f>
        <v>7.6875</v>
      </c>
      <c r="U15" s="34" t="n">
        <f aca="false">(T13+T14)*in_TrialConv</f>
        <v>7.6875</v>
      </c>
      <c r="V15" s="34" t="n">
        <f aca="false">(U13+U14)*in_TrialConv</f>
        <v>7.6875</v>
      </c>
      <c r="W15" s="34" t="n">
        <f aca="false">(V13+V14)*in_TrialConv</f>
        <v>7.6875</v>
      </c>
      <c r="X15" s="34" t="n">
        <f aca="false">(W13+W14)*in_TrialConv</f>
        <v>7.6875</v>
      </c>
      <c r="Y15" s="34" t="n">
        <f aca="false">(X13+X14)*in_TrialConv</f>
        <v>7.6875</v>
      </c>
      <c r="Z15" s="34" t="n">
        <f aca="false">(Y13+Y14)*in_TrialConv</f>
        <v>7.6875</v>
      </c>
      <c r="AA15" s="34" t="n">
        <f aca="false">(Z13+Z14)*in_TrialConv</f>
        <v>7.6875</v>
      </c>
      <c r="AB15" s="34" t="n">
        <f aca="false">(AA13+AA14)*in_TrialConv</f>
        <v>11.5625</v>
      </c>
      <c r="AC15" s="34" t="n">
        <f aca="false">(AB13+AB14)*in_TrialConv</f>
        <v>11.5625</v>
      </c>
      <c r="AD15" s="34" t="n">
        <f aca="false">(AC13+AC14)*in_TrialConv</f>
        <v>11.5625</v>
      </c>
      <c r="AE15" s="34" t="n">
        <f aca="false">(AD13+AD14)*in_TrialConv</f>
        <v>11.5625</v>
      </c>
      <c r="AF15" s="34" t="n">
        <f aca="false">(AE13+AE14)*in_TrialConv</f>
        <v>11.5625</v>
      </c>
      <c r="AG15" s="34" t="n">
        <f aca="false">(AF13+AF14)*in_TrialConv</f>
        <v>11.5625</v>
      </c>
      <c r="AH15" s="34" t="n">
        <f aca="false">(AG13+AG14)*in_TrialConv</f>
        <v>11.5625</v>
      </c>
      <c r="AI15" s="34" t="n">
        <f aca="false">(AH13+AH14)*in_TrialConv</f>
        <v>11.5625</v>
      </c>
      <c r="AJ15" s="34" t="n">
        <f aca="false">(AI13+AI14)*in_TrialConv</f>
        <v>11.5625</v>
      </c>
      <c r="AK15" s="34" t="n">
        <f aca="false">(AJ13+AJ14)*in_TrialConv</f>
        <v>11.5625</v>
      </c>
      <c r="AL15" s="34" t="n">
        <f aca="false">(AK13+AK14)*in_TrialConv</f>
        <v>11.5625</v>
      </c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customFormat="false" ht="15" hidden="false" customHeight="false" outlineLevel="0" collapsed="false">
      <c r="A17" s="15" t="s">
        <v>230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</row>
    <row r="18" customFormat="false" ht="15" hidden="false" customHeight="false" outlineLevel="0" collapsed="false">
      <c r="A18" s="3" t="s">
        <v>231</v>
      </c>
      <c r="B18" s="13" t="s">
        <v>187</v>
      </c>
      <c r="C18" s="35" t="n">
        <f aca="false">C8+C12+C15</f>
        <v>0</v>
      </c>
      <c r="D18" s="35" t="n">
        <f aca="false">D8+D12+D15</f>
        <v>3.8125</v>
      </c>
      <c r="E18" s="35" t="n">
        <f aca="false">E8+E12+E15</f>
        <v>3.8125</v>
      </c>
      <c r="F18" s="35" t="n">
        <f aca="false">F8+F12+F15</f>
        <v>9.8125</v>
      </c>
      <c r="G18" s="35" t="n">
        <f aca="false">G8+G12+G15</f>
        <v>3.8125</v>
      </c>
      <c r="H18" s="35" t="n">
        <f aca="false">H8+H12+H15</f>
        <v>4.5125</v>
      </c>
      <c r="I18" s="35" t="n">
        <f aca="false">I8+I12+I15</f>
        <v>4.6125</v>
      </c>
      <c r="J18" s="35" t="n">
        <f aca="false">J8+J12+J15</f>
        <v>4.7125</v>
      </c>
      <c r="K18" s="35" t="n">
        <f aca="false">K8+K12+K15</f>
        <v>4.8125</v>
      </c>
      <c r="L18" s="35" t="n">
        <f aca="false">L8+L12+L15</f>
        <v>4.9125</v>
      </c>
      <c r="M18" s="35" t="n">
        <f aca="false">M8+M12+M15</f>
        <v>5.0125</v>
      </c>
      <c r="N18" s="35" t="n">
        <f aca="false">N8+N12+N15</f>
        <v>5.1125</v>
      </c>
      <c r="O18" s="35" t="n">
        <f aca="false">O8+O12+O15</f>
        <v>5.2125</v>
      </c>
      <c r="P18" s="35" t="n">
        <f aca="false">P8+P12+P15</f>
        <v>9.1875</v>
      </c>
      <c r="Q18" s="35" t="n">
        <f aca="false">Q8+Q12+Q15</f>
        <v>9.4875</v>
      </c>
      <c r="R18" s="35" t="n">
        <f aca="false">R8+R12+R15</f>
        <v>9.7875</v>
      </c>
      <c r="S18" s="35" t="n">
        <f aca="false">S8+S12+S15</f>
        <v>10.0875</v>
      </c>
      <c r="T18" s="35" t="n">
        <f aca="false">T8+T12+T15</f>
        <v>10.3875</v>
      </c>
      <c r="U18" s="35" t="n">
        <f aca="false">U8+U12+U15</f>
        <v>10.6875</v>
      </c>
      <c r="V18" s="35" t="n">
        <f aca="false">V8+V12+V15</f>
        <v>10.9875</v>
      </c>
      <c r="W18" s="35" t="n">
        <f aca="false">W8+W12+W15</f>
        <v>11.2875</v>
      </c>
      <c r="X18" s="35" t="n">
        <f aca="false">X8+X12+X15</f>
        <v>11.5875</v>
      </c>
      <c r="Y18" s="35" t="n">
        <f aca="false">Y8+Y12+Y15</f>
        <v>11.8875</v>
      </c>
      <c r="Z18" s="35" t="n">
        <f aca="false">Z8+Z12+Z15</f>
        <v>12.1875</v>
      </c>
      <c r="AA18" s="35" t="n">
        <f aca="false">AA8+AA12+AA15</f>
        <v>12.4875</v>
      </c>
      <c r="AB18" s="35" t="n">
        <f aca="false">AB8+AB12+AB15</f>
        <v>16.6625</v>
      </c>
      <c r="AC18" s="35" t="n">
        <f aca="false">AC8+AC12+AC15</f>
        <v>17.0625</v>
      </c>
      <c r="AD18" s="35" t="n">
        <f aca="false">AD8+AD12+AD15</f>
        <v>17.4625</v>
      </c>
      <c r="AE18" s="35" t="n">
        <f aca="false">AE8+AE12+AE15</f>
        <v>17.8625</v>
      </c>
      <c r="AF18" s="35" t="n">
        <f aca="false">AF8+AF12+AF15</f>
        <v>18.2625</v>
      </c>
      <c r="AG18" s="35" t="n">
        <f aca="false">AG8+AG12+AG15</f>
        <v>18.6625</v>
      </c>
      <c r="AH18" s="35" t="n">
        <f aca="false">AH8+AH12+AH15</f>
        <v>19.0625</v>
      </c>
      <c r="AI18" s="35" t="n">
        <f aca="false">AI8+AI12+AI15</f>
        <v>19.4625</v>
      </c>
      <c r="AJ18" s="35" t="n">
        <f aca="false">AJ8+AJ12+AJ15</f>
        <v>19.8625</v>
      </c>
      <c r="AK18" s="35" t="n">
        <f aca="false">AK8+AK12+AK15</f>
        <v>20.2625</v>
      </c>
      <c r="AL18" s="35" t="n">
        <f aca="false">AL8+AL12+AL15</f>
        <v>20.6625</v>
      </c>
    </row>
    <row r="19" customFormat="false" ht="15" hidden="false" customHeight="false" outlineLevel="0" collapsed="false">
      <c r="A19" s="1" t="s">
        <v>232</v>
      </c>
      <c r="B19" s="13" t="s">
        <v>187</v>
      </c>
      <c r="C19" s="34" t="n">
        <f aca="false">C8+C12</f>
        <v>0</v>
      </c>
      <c r="D19" s="34" t="n">
        <f aca="false">D8+D12</f>
        <v>0</v>
      </c>
      <c r="E19" s="34" t="n">
        <f aca="false">E8+E12</f>
        <v>0</v>
      </c>
      <c r="F19" s="34" t="n">
        <f aca="false">F8+F12</f>
        <v>6</v>
      </c>
      <c r="G19" s="34" t="n">
        <f aca="false">G8+G12</f>
        <v>0</v>
      </c>
      <c r="H19" s="34" t="n">
        <f aca="false">H8+H12</f>
        <v>0.7</v>
      </c>
      <c r="I19" s="34" t="n">
        <f aca="false">I8+I12</f>
        <v>0.8</v>
      </c>
      <c r="J19" s="34" t="n">
        <f aca="false">J8+J12</f>
        <v>0.9</v>
      </c>
      <c r="K19" s="34" t="n">
        <f aca="false">K8+K12</f>
        <v>1</v>
      </c>
      <c r="L19" s="34" t="n">
        <f aca="false">L8+L12</f>
        <v>1.1</v>
      </c>
      <c r="M19" s="34" t="n">
        <f aca="false">M8+M12</f>
        <v>1.2</v>
      </c>
      <c r="N19" s="34" t="n">
        <f aca="false">N8+N12</f>
        <v>1.3</v>
      </c>
      <c r="O19" s="34" t="n">
        <f aca="false">O8+O12</f>
        <v>1.4</v>
      </c>
      <c r="P19" s="34" t="n">
        <f aca="false">P8+P12</f>
        <v>1.5</v>
      </c>
      <c r="Q19" s="34" t="n">
        <f aca="false">Q8+Q12</f>
        <v>1.8</v>
      </c>
      <c r="R19" s="34" t="n">
        <f aca="false">R8+R12</f>
        <v>2.1</v>
      </c>
      <c r="S19" s="34" t="n">
        <f aca="false">S8+S12</f>
        <v>2.4</v>
      </c>
      <c r="T19" s="34" t="n">
        <f aca="false">T8+T12</f>
        <v>2.7</v>
      </c>
      <c r="U19" s="34" t="n">
        <f aca="false">U8+U12</f>
        <v>3</v>
      </c>
      <c r="V19" s="34" t="n">
        <f aca="false">V8+V12</f>
        <v>3.3</v>
      </c>
      <c r="W19" s="34" t="n">
        <f aca="false">W8+W12</f>
        <v>3.6</v>
      </c>
      <c r="X19" s="34" t="n">
        <f aca="false">X8+X12</f>
        <v>3.9</v>
      </c>
      <c r="Y19" s="34" t="n">
        <f aca="false">Y8+Y12</f>
        <v>4.2</v>
      </c>
      <c r="Z19" s="34" t="n">
        <f aca="false">Z8+Z12</f>
        <v>4.5</v>
      </c>
      <c r="AA19" s="34" t="n">
        <f aca="false">AA8+AA12</f>
        <v>4.8</v>
      </c>
      <c r="AB19" s="34" t="n">
        <f aca="false">AB8+AB12</f>
        <v>5.1</v>
      </c>
      <c r="AC19" s="34" t="n">
        <f aca="false">AC8+AC12</f>
        <v>5.5</v>
      </c>
      <c r="AD19" s="34" t="n">
        <f aca="false">AD8+AD12</f>
        <v>5.9</v>
      </c>
      <c r="AE19" s="34" t="n">
        <f aca="false">AE8+AE12</f>
        <v>6.3</v>
      </c>
      <c r="AF19" s="34" t="n">
        <f aca="false">AF8+AF12</f>
        <v>6.7</v>
      </c>
      <c r="AG19" s="34" t="n">
        <f aca="false">AG8+AG12</f>
        <v>7.1</v>
      </c>
      <c r="AH19" s="34" t="n">
        <f aca="false">AH8+AH12</f>
        <v>7.5</v>
      </c>
      <c r="AI19" s="34" t="n">
        <f aca="false">AI8+AI12</f>
        <v>7.9</v>
      </c>
      <c r="AJ19" s="34" t="n">
        <f aca="false">AJ8+AJ12</f>
        <v>8.3</v>
      </c>
      <c r="AK19" s="34" t="n">
        <f aca="false">AK8+AK12</f>
        <v>8.7</v>
      </c>
      <c r="AL19" s="34" t="n">
        <f aca="false">AL8+AL12</f>
        <v>9.1</v>
      </c>
    </row>
    <row r="20" customFormat="false" ht="15" hidden="false" customHeight="false" outlineLevel="0" collapsed="false">
      <c r="A20" s="1" t="s">
        <v>233</v>
      </c>
      <c r="B20" s="13" t="s">
        <v>187</v>
      </c>
      <c r="C20" s="34" t="n">
        <f aca="false">0*in_Churn</f>
        <v>0</v>
      </c>
      <c r="D20" s="34" t="n">
        <f aca="false">C21*in_Churn</f>
        <v>0</v>
      </c>
      <c r="E20" s="34" t="n">
        <f aca="false">D21*in_Churn</f>
        <v>0.114375</v>
      </c>
      <c r="F20" s="34" t="n">
        <f aca="false">E21*in_Churn</f>
        <v>0.22531875</v>
      </c>
      <c r="G20" s="34" t="n">
        <f aca="false">F21*in_Churn</f>
        <v>0.5129341875</v>
      </c>
      <c r="H20" s="34" t="n">
        <f aca="false">G21*in_Churn</f>
        <v>0.611921161875</v>
      </c>
      <c r="I20" s="34" t="n">
        <f aca="false">H21*in_Churn</f>
        <v>0.72893852701875</v>
      </c>
      <c r="J20" s="34" t="n">
        <f aca="false">I21*in_Churn</f>
        <v>0.845445371208187</v>
      </c>
      <c r="K20" s="34" t="n">
        <f aca="false">J21*in_Churn</f>
        <v>0.961457010071942</v>
      </c>
      <c r="L20" s="34" t="n">
        <f aca="false">K21*in_Churn</f>
        <v>1.07698829976978</v>
      </c>
      <c r="M20" s="34" t="n">
        <f aca="false">L21*in_Churn</f>
        <v>1.19205365077669</v>
      </c>
      <c r="N20" s="34" t="n">
        <f aca="false">M21*in_Churn</f>
        <v>1.30666704125339</v>
      </c>
      <c r="O20" s="34" t="n">
        <f aca="false">N21*in_Churn</f>
        <v>1.42084203001579</v>
      </c>
      <c r="P20" s="34" t="n">
        <f aca="false">O21*in_Churn</f>
        <v>1.53459176911531</v>
      </c>
      <c r="Q20" s="34" t="n">
        <f aca="false">P21*in_Churn</f>
        <v>1.76417901604185</v>
      </c>
      <c r="R20" s="34" t="n">
        <f aca="false">Q21*in_Churn</f>
        <v>1.9958786455606</v>
      </c>
      <c r="S20" s="34" t="n">
        <f aca="false">R21*in_Churn</f>
        <v>2.22962728619378</v>
      </c>
      <c r="T20" s="34" t="n">
        <f aca="false">S21*in_Churn</f>
        <v>2.46536346760797</v>
      </c>
      <c r="U20" s="34" t="n">
        <f aca="false">T21*in_Churn</f>
        <v>2.70302756357973</v>
      </c>
      <c r="V20" s="34" t="n">
        <f aca="false">U21*in_Churn</f>
        <v>2.94256173667234</v>
      </c>
      <c r="W20" s="34" t="n">
        <f aca="false">V21*in_Churn</f>
        <v>3.18390988457217</v>
      </c>
      <c r="X20" s="34" t="n">
        <f aca="false">W21*in_Churn</f>
        <v>3.427017588035</v>
      </c>
      <c r="Y20" s="34" t="n">
        <f aca="false">X21*in_Churn</f>
        <v>3.67183206039395</v>
      </c>
      <c r="Z20" s="34" t="n">
        <f aca="false">Y21*in_Churn</f>
        <v>3.91830209858213</v>
      </c>
      <c r="AA20" s="34" t="n">
        <f aca="false">Z21*in_Churn</f>
        <v>4.16637803562467</v>
      </c>
      <c r="AB20" s="34" t="n">
        <f aca="false">AA21*in_Churn</f>
        <v>4.41601169455593</v>
      </c>
      <c r="AC20" s="34" t="n">
        <f aca="false">AB21*in_Churn</f>
        <v>4.78340634371925</v>
      </c>
      <c r="AD20" s="34" t="n">
        <f aca="false">AC21*in_Churn</f>
        <v>5.15177915340767</v>
      </c>
      <c r="AE20" s="34" t="n">
        <f aca="false">AD21*in_Churn</f>
        <v>5.52110077880545</v>
      </c>
      <c r="AF20" s="34" t="n">
        <f aca="false">AE21*in_Churn</f>
        <v>5.89134275544128</v>
      </c>
      <c r="AG20" s="34" t="n">
        <f aca="false">AF21*in_Churn</f>
        <v>6.26247747277804</v>
      </c>
      <c r="AH20" s="34" t="n">
        <f aca="false">AG21*in_Churn</f>
        <v>6.6344781485947</v>
      </c>
      <c r="AI20" s="34" t="n">
        <f aca="false">AH21*in_Churn</f>
        <v>7.00731880413686</v>
      </c>
      <c r="AJ20" s="34" t="n">
        <f aca="false">AI21*in_Churn</f>
        <v>7.38097424001275</v>
      </c>
      <c r="AK20" s="34" t="n">
        <f aca="false">AJ21*in_Churn</f>
        <v>7.75542001281237</v>
      </c>
      <c r="AL20" s="34" t="n">
        <f aca="false">AK21*in_Churn</f>
        <v>8.130632412428</v>
      </c>
    </row>
    <row r="21" customFormat="false" ht="15" hidden="false" customHeight="false" outlineLevel="0" collapsed="false">
      <c r="A21" s="3" t="s">
        <v>234</v>
      </c>
      <c r="B21" s="13" t="s">
        <v>187</v>
      </c>
      <c r="C21" s="36" t="n">
        <f aca="false">0+C18-C20</f>
        <v>0</v>
      </c>
      <c r="D21" s="36" t="n">
        <f aca="false">C21+D18-D20</f>
        <v>3.8125</v>
      </c>
      <c r="E21" s="36" t="n">
        <f aca="false">D21+E18-E20</f>
        <v>7.510625</v>
      </c>
      <c r="F21" s="36" t="n">
        <f aca="false">E21+F18-F20</f>
        <v>17.09780625</v>
      </c>
      <c r="G21" s="36" t="n">
        <f aca="false">F21+G18-G20</f>
        <v>20.3973720625</v>
      </c>
      <c r="H21" s="36" t="n">
        <f aca="false">G21+H18-H20</f>
        <v>24.297950900625</v>
      </c>
      <c r="I21" s="36" t="n">
        <f aca="false">H21+I18-I20</f>
        <v>28.1815123736063</v>
      </c>
      <c r="J21" s="36" t="n">
        <f aca="false">I21+J18-J20</f>
        <v>32.0485670023981</v>
      </c>
      <c r="K21" s="36" t="n">
        <f aca="false">J21+K18-K20</f>
        <v>35.8996099923261</v>
      </c>
      <c r="L21" s="36" t="n">
        <f aca="false">K21+L18-L20</f>
        <v>39.7351216925564</v>
      </c>
      <c r="M21" s="36" t="n">
        <f aca="false">L21+M18-M20</f>
        <v>43.5555680417797</v>
      </c>
      <c r="N21" s="36" t="n">
        <f aca="false">M21+N18-N20</f>
        <v>47.3614010005263</v>
      </c>
      <c r="O21" s="36" t="n">
        <f aca="false">N21+O18-O20</f>
        <v>51.1530589705105</v>
      </c>
      <c r="P21" s="36" t="n">
        <f aca="false">O21+P18-P20</f>
        <v>58.8059672013952</v>
      </c>
      <c r="Q21" s="36" t="n">
        <f aca="false">P21+Q18-Q20</f>
        <v>66.5292881853533</v>
      </c>
      <c r="R21" s="36" t="n">
        <f aca="false">Q21+R18-R20</f>
        <v>74.3209095397927</v>
      </c>
      <c r="S21" s="36" t="n">
        <f aca="false">R21+S18-S20</f>
        <v>82.1787822535989</v>
      </c>
      <c r="T21" s="36" t="n">
        <f aca="false">S21+T18-T20</f>
        <v>90.100918785991</v>
      </c>
      <c r="U21" s="36" t="n">
        <f aca="false">T21+U18-U20</f>
        <v>98.0853912224113</v>
      </c>
      <c r="V21" s="36" t="n">
        <f aca="false">U21+V18-V20</f>
        <v>106.130329485739</v>
      </c>
      <c r="W21" s="36" t="n">
        <f aca="false">V21+W18-W20</f>
        <v>114.233919601167</v>
      </c>
      <c r="X21" s="36" t="n">
        <f aca="false">W21+X18-X20</f>
        <v>122.394402013132</v>
      </c>
      <c r="Y21" s="36" t="n">
        <f aca="false">X21+Y18-Y20</f>
        <v>130.610069952738</v>
      </c>
      <c r="Z21" s="36" t="n">
        <f aca="false">Y21+Z18-Z20</f>
        <v>138.879267854156</v>
      </c>
      <c r="AA21" s="36" t="n">
        <f aca="false">Z21+AA18-AA20</f>
        <v>147.200389818531</v>
      </c>
      <c r="AB21" s="36" t="n">
        <f aca="false">AA21+AB18-AB20</f>
        <v>159.446878123975</v>
      </c>
      <c r="AC21" s="36" t="n">
        <f aca="false">AB21+AC18-AC20</f>
        <v>171.725971780256</v>
      </c>
      <c r="AD21" s="36" t="n">
        <f aca="false">AC21+AD18-AD20</f>
        <v>184.036692626848</v>
      </c>
      <c r="AE21" s="36" t="n">
        <f aca="false">AD21+AE18-AE20</f>
        <v>196.378091848043</v>
      </c>
      <c r="AF21" s="36" t="n">
        <f aca="false">AE21+AF18-AF20</f>
        <v>208.749249092601</v>
      </c>
      <c r="AG21" s="36" t="n">
        <f aca="false">AF21+AG18-AG20</f>
        <v>221.149271619823</v>
      </c>
      <c r="AH21" s="36" t="n">
        <f aca="false">AG21+AH18-AH20</f>
        <v>233.577293471229</v>
      </c>
      <c r="AI21" s="36" t="n">
        <f aca="false">AH21+AI18-AI20</f>
        <v>246.032474667092</v>
      </c>
      <c r="AJ21" s="36" t="n">
        <f aca="false">AI21+AJ18-AJ20</f>
        <v>258.514000427079</v>
      </c>
      <c r="AK21" s="36" t="n">
        <f aca="false">AJ21+AK18-AK20</f>
        <v>271.021080414267</v>
      </c>
      <c r="AL21" s="36" t="n">
        <f aca="false">AK21+AL18-AL20</f>
        <v>283.552948001839</v>
      </c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customFormat="false" ht="15" hidden="false" customHeight="false" outlineLevel="0" collapsed="false">
      <c r="A23" s="15" t="s">
        <v>235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  <row r="24" customFormat="false" ht="15" hidden="false" customHeight="false" outlineLevel="0" collapsed="false">
      <c r="A24" s="1" t="s">
        <v>236</v>
      </c>
      <c r="B24" s="13" t="s">
        <v>80</v>
      </c>
      <c r="C24" s="37" t="n">
        <f aca="false">in_BlendedPriceRON*(1+in_PriceInc)^(C$5-1)</f>
        <v>238</v>
      </c>
      <c r="D24" s="37" t="n">
        <f aca="false">in_BlendedPriceRON*(1+in_PriceInc)^(D$5-1)</f>
        <v>238</v>
      </c>
      <c r="E24" s="37" t="n">
        <f aca="false">in_BlendedPriceRON*(1+in_PriceInc)^(E$5-1)</f>
        <v>238</v>
      </c>
      <c r="F24" s="37" t="n">
        <f aca="false">in_BlendedPriceRON*(1+in_PriceInc)^(F$5-1)</f>
        <v>238</v>
      </c>
      <c r="G24" s="37" t="n">
        <f aca="false">in_BlendedPriceRON*(1+in_PriceInc)^(G$5-1)</f>
        <v>238</v>
      </c>
      <c r="H24" s="37" t="n">
        <f aca="false">in_BlendedPriceRON*(1+in_PriceInc)^(H$5-1)</f>
        <v>238</v>
      </c>
      <c r="I24" s="37" t="n">
        <f aca="false">in_BlendedPriceRON*(1+in_PriceInc)^(I$5-1)</f>
        <v>238</v>
      </c>
      <c r="J24" s="37" t="n">
        <f aca="false">in_BlendedPriceRON*(1+in_PriceInc)^(J$5-1)</f>
        <v>238</v>
      </c>
      <c r="K24" s="37" t="n">
        <f aca="false">in_BlendedPriceRON*(1+in_PriceInc)^(K$5-1)</f>
        <v>238</v>
      </c>
      <c r="L24" s="37" t="n">
        <f aca="false">in_BlendedPriceRON*(1+in_PriceInc)^(L$5-1)</f>
        <v>238</v>
      </c>
      <c r="M24" s="37" t="n">
        <f aca="false">in_BlendedPriceRON*(1+in_PriceInc)^(M$5-1)</f>
        <v>238</v>
      </c>
      <c r="N24" s="37" t="n">
        <f aca="false">in_BlendedPriceRON*(1+in_PriceInc)^(N$5-1)</f>
        <v>238</v>
      </c>
      <c r="O24" s="37" t="n">
        <f aca="false">in_BlendedPriceRON*(1+in_PriceInc)^(O$5-1)</f>
        <v>249.9</v>
      </c>
      <c r="P24" s="37" t="n">
        <f aca="false">in_BlendedPriceRON*(1+in_PriceInc)^(P$5-1)</f>
        <v>249.9</v>
      </c>
      <c r="Q24" s="37" t="n">
        <f aca="false">in_BlendedPriceRON*(1+in_PriceInc)^(Q$5-1)</f>
        <v>249.9</v>
      </c>
      <c r="R24" s="37" t="n">
        <f aca="false">in_BlendedPriceRON*(1+in_PriceInc)^(R$5-1)</f>
        <v>249.9</v>
      </c>
      <c r="S24" s="37" t="n">
        <f aca="false">in_BlendedPriceRON*(1+in_PriceInc)^(S$5-1)</f>
        <v>249.9</v>
      </c>
      <c r="T24" s="37" t="n">
        <f aca="false">in_BlendedPriceRON*(1+in_PriceInc)^(T$5-1)</f>
        <v>249.9</v>
      </c>
      <c r="U24" s="37" t="n">
        <f aca="false">in_BlendedPriceRON*(1+in_PriceInc)^(U$5-1)</f>
        <v>249.9</v>
      </c>
      <c r="V24" s="37" t="n">
        <f aca="false">in_BlendedPriceRON*(1+in_PriceInc)^(V$5-1)</f>
        <v>249.9</v>
      </c>
      <c r="W24" s="37" t="n">
        <f aca="false">in_BlendedPriceRON*(1+in_PriceInc)^(W$5-1)</f>
        <v>249.9</v>
      </c>
      <c r="X24" s="37" t="n">
        <f aca="false">in_BlendedPriceRON*(1+in_PriceInc)^(X$5-1)</f>
        <v>249.9</v>
      </c>
      <c r="Y24" s="37" t="n">
        <f aca="false">in_BlendedPriceRON*(1+in_PriceInc)^(Y$5-1)</f>
        <v>249.9</v>
      </c>
      <c r="Z24" s="37" t="n">
        <f aca="false">in_BlendedPriceRON*(1+in_PriceInc)^(Z$5-1)</f>
        <v>249.9</v>
      </c>
      <c r="AA24" s="37" t="n">
        <f aca="false">in_BlendedPriceRON*(1+in_PriceInc)^(AA$5-1)</f>
        <v>262.395</v>
      </c>
      <c r="AB24" s="37" t="n">
        <f aca="false">in_BlendedPriceRON*(1+in_PriceInc)^(AB$5-1)</f>
        <v>262.395</v>
      </c>
      <c r="AC24" s="37" t="n">
        <f aca="false">in_BlendedPriceRON*(1+in_PriceInc)^(AC$5-1)</f>
        <v>262.395</v>
      </c>
      <c r="AD24" s="37" t="n">
        <f aca="false">in_BlendedPriceRON*(1+in_PriceInc)^(AD$5-1)</f>
        <v>262.395</v>
      </c>
      <c r="AE24" s="37" t="n">
        <f aca="false">in_BlendedPriceRON*(1+in_PriceInc)^(AE$5-1)</f>
        <v>262.395</v>
      </c>
      <c r="AF24" s="37" t="n">
        <f aca="false">in_BlendedPriceRON*(1+in_PriceInc)^(AF$5-1)</f>
        <v>262.395</v>
      </c>
      <c r="AG24" s="37" t="n">
        <f aca="false">in_BlendedPriceRON*(1+in_PriceInc)^(AG$5-1)</f>
        <v>262.395</v>
      </c>
      <c r="AH24" s="37" t="n">
        <f aca="false">in_BlendedPriceRON*(1+in_PriceInc)^(AH$5-1)</f>
        <v>262.395</v>
      </c>
      <c r="AI24" s="37" t="n">
        <f aca="false">in_BlendedPriceRON*(1+in_PriceInc)^(AI$5-1)</f>
        <v>262.395</v>
      </c>
      <c r="AJ24" s="37" t="n">
        <f aca="false">in_BlendedPriceRON*(1+in_PriceInc)^(AJ$5-1)</f>
        <v>262.395</v>
      </c>
      <c r="AK24" s="37" t="n">
        <f aca="false">in_BlendedPriceRON*(1+in_PriceInc)^(AK$5-1)</f>
        <v>262.395</v>
      </c>
      <c r="AL24" s="37" t="n">
        <f aca="false">in_BlendedPriceRON*(1+in_PriceInc)^(AL$5-1)</f>
        <v>262.395</v>
      </c>
    </row>
    <row r="25" customFormat="false" ht="15" hidden="false" customHeight="false" outlineLevel="0" collapsed="false">
      <c r="A25" s="1" t="s">
        <v>237</v>
      </c>
      <c r="B25" s="13" t="s">
        <v>99</v>
      </c>
      <c r="C25" s="38" t="n">
        <f aca="false">C24/in_FX</f>
        <v>47.6</v>
      </c>
      <c r="D25" s="38" t="n">
        <f aca="false">D24/in_FX</f>
        <v>47.6</v>
      </c>
      <c r="E25" s="38" t="n">
        <f aca="false">E24/in_FX</f>
        <v>47.6</v>
      </c>
      <c r="F25" s="38" t="n">
        <f aca="false">F24/in_FX</f>
        <v>47.6</v>
      </c>
      <c r="G25" s="38" t="n">
        <f aca="false">G24/in_FX</f>
        <v>47.6</v>
      </c>
      <c r="H25" s="38" t="n">
        <f aca="false">H24/in_FX</f>
        <v>47.6</v>
      </c>
      <c r="I25" s="38" t="n">
        <f aca="false">I24/in_FX</f>
        <v>47.6</v>
      </c>
      <c r="J25" s="38" t="n">
        <f aca="false">J24/in_FX</f>
        <v>47.6</v>
      </c>
      <c r="K25" s="38" t="n">
        <f aca="false">K24/in_FX</f>
        <v>47.6</v>
      </c>
      <c r="L25" s="38" t="n">
        <f aca="false">L24/in_FX</f>
        <v>47.6</v>
      </c>
      <c r="M25" s="38" t="n">
        <f aca="false">M24/in_FX</f>
        <v>47.6</v>
      </c>
      <c r="N25" s="38" t="n">
        <f aca="false">N24/in_FX</f>
        <v>47.6</v>
      </c>
      <c r="O25" s="38" t="n">
        <f aca="false">O24/in_FX</f>
        <v>49.98</v>
      </c>
      <c r="P25" s="38" t="n">
        <f aca="false">P24/in_FX</f>
        <v>49.98</v>
      </c>
      <c r="Q25" s="38" t="n">
        <f aca="false">Q24/in_FX</f>
        <v>49.98</v>
      </c>
      <c r="R25" s="38" t="n">
        <f aca="false">R24/in_FX</f>
        <v>49.98</v>
      </c>
      <c r="S25" s="38" t="n">
        <f aca="false">S24/in_FX</f>
        <v>49.98</v>
      </c>
      <c r="T25" s="38" t="n">
        <f aca="false">T24/in_FX</f>
        <v>49.98</v>
      </c>
      <c r="U25" s="38" t="n">
        <f aca="false">U24/in_FX</f>
        <v>49.98</v>
      </c>
      <c r="V25" s="38" t="n">
        <f aca="false">V24/in_FX</f>
        <v>49.98</v>
      </c>
      <c r="W25" s="38" t="n">
        <f aca="false">W24/in_FX</f>
        <v>49.98</v>
      </c>
      <c r="X25" s="38" t="n">
        <f aca="false">X24/in_FX</f>
        <v>49.98</v>
      </c>
      <c r="Y25" s="38" t="n">
        <f aca="false">Y24/in_FX</f>
        <v>49.98</v>
      </c>
      <c r="Z25" s="38" t="n">
        <f aca="false">Z24/in_FX</f>
        <v>49.98</v>
      </c>
      <c r="AA25" s="38" t="n">
        <f aca="false">AA24/in_FX</f>
        <v>52.479</v>
      </c>
      <c r="AB25" s="38" t="n">
        <f aca="false">AB24/in_FX</f>
        <v>52.479</v>
      </c>
      <c r="AC25" s="38" t="n">
        <f aca="false">AC24/in_FX</f>
        <v>52.479</v>
      </c>
      <c r="AD25" s="38" t="n">
        <f aca="false">AD24/in_FX</f>
        <v>52.479</v>
      </c>
      <c r="AE25" s="38" t="n">
        <f aca="false">AE24/in_FX</f>
        <v>52.479</v>
      </c>
      <c r="AF25" s="38" t="n">
        <f aca="false">AF24/in_FX</f>
        <v>52.479</v>
      </c>
      <c r="AG25" s="38" t="n">
        <f aca="false">AG24/in_FX</f>
        <v>52.479</v>
      </c>
      <c r="AH25" s="38" t="n">
        <f aca="false">AH24/in_FX</f>
        <v>52.479</v>
      </c>
      <c r="AI25" s="38" t="n">
        <f aca="false">AI24/in_FX</f>
        <v>52.479</v>
      </c>
      <c r="AJ25" s="38" t="n">
        <f aca="false">AJ24/in_FX</f>
        <v>52.479</v>
      </c>
      <c r="AK25" s="38" t="n">
        <f aca="false">AK24/in_FX</f>
        <v>52.479</v>
      </c>
      <c r="AL25" s="38" t="n">
        <f aca="false">AL24/in_FX</f>
        <v>52.479</v>
      </c>
    </row>
    <row r="26" customFormat="false" ht="15" hidden="false" customHeight="false" outlineLevel="0" collapsed="false">
      <c r="A26" s="3" t="s">
        <v>238</v>
      </c>
      <c r="B26" s="13" t="s">
        <v>62</v>
      </c>
      <c r="C26" s="39" t="n">
        <f aca="false">C21*C25</f>
        <v>0</v>
      </c>
      <c r="D26" s="39" t="n">
        <f aca="false">D21*D25</f>
        <v>181.475</v>
      </c>
      <c r="E26" s="39" t="n">
        <f aca="false">E21*E25</f>
        <v>357.50575</v>
      </c>
      <c r="F26" s="39" t="n">
        <f aca="false">F21*F25</f>
        <v>813.8555775</v>
      </c>
      <c r="G26" s="39" t="n">
        <f aca="false">G21*G25</f>
        <v>970.914910175</v>
      </c>
      <c r="H26" s="39" t="n">
        <f aca="false">H21*H25</f>
        <v>1156.58246286975</v>
      </c>
      <c r="I26" s="39" t="n">
        <f aca="false">I21*I25</f>
        <v>1341.43998898366</v>
      </c>
      <c r="J26" s="39" t="n">
        <f aca="false">J21*J25</f>
        <v>1525.51178931415</v>
      </c>
      <c r="K26" s="39" t="n">
        <f aca="false">K21*K25</f>
        <v>1708.82143563472</v>
      </c>
      <c r="L26" s="39" t="n">
        <f aca="false">L21*L25</f>
        <v>1891.39179256568</v>
      </c>
      <c r="M26" s="39" t="n">
        <f aca="false">M21*M25</f>
        <v>2073.24503878871</v>
      </c>
      <c r="N26" s="39" t="n">
        <f aca="false">N21*N25</f>
        <v>2254.40268762505</v>
      </c>
      <c r="O26" s="39" t="n">
        <f aca="false">O21*O25</f>
        <v>2556.62988734611</v>
      </c>
      <c r="P26" s="39" t="n">
        <f aca="false">P21*P25</f>
        <v>2939.12224072573</v>
      </c>
      <c r="Q26" s="39" t="n">
        <f aca="false">Q21*Q25</f>
        <v>3325.13382350396</v>
      </c>
      <c r="R26" s="39" t="n">
        <f aca="false">R21*R25</f>
        <v>3714.55905879884</v>
      </c>
      <c r="S26" s="39" t="n">
        <f aca="false">S21*S25</f>
        <v>4107.29553703488</v>
      </c>
      <c r="T26" s="39" t="n">
        <f aca="false">T21*T25</f>
        <v>4503.24392092383</v>
      </c>
      <c r="U26" s="39" t="n">
        <f aca="false">U21*U25</f>
        <v>4902.30785329611</v>
      </c>
      <c r="V26" s="39" t="n">
        <f aca="false">V21*V25</f>
        <v>5304.39386769723</v>
      </c>
      <c r="W26" s="39" t="n">
        <f aca="false">W21*W25</f>
        <v>5709.41130166631</v>
      </c>
      <c r="X26" s="39" t="n">
        <f aca="false">X21*X25</f>
        <v>6117.27221261632</v>
      </c>
      <c r="Y26" s="39" t="n">
        <f aca="false">Y21*Y25</f>
        <v>6527.89129623784</v>
      </c>
      <c r="Z26" s="39" t="n">
        <f aca="false">Z21*Z25</f>
        <v>6941.1858073507</v>
      </c>
      <c r="AA26" s="39" t="n">
        <f aca="false">AA21*AA25</f>
        <v>7724.92925728669</v>
      </c>
      <c r="AB26" s="39" t="n">
        <f aca="false">AB21*AB25</f>
        <v>8367.61271706809</v>
      </c>
      <c r="AC26" s="39" t="n">
        <f aca="false">AC21*AC25</f>
        <v>9012.00727305605</v>
      </c>
      <c r="AD26" s="39" t="n">
        <f aca="false">AD21*AD25</f>
        <v>9658.06159236436</v>
      </c>
      <c r="AE26" s="39" t="n">
        <f aca="false">AE21*AE25</f>
        <v>10305.7258820934</v>
      </c>
      <c r="AF26" s="39" t="n">
        <f aca="false">AF21*AF25</f>
        <v>10954.9518431306</v>
      </c>
      <c r="AG26" s="39" t="n">
        <f aca="false">AG21*AG25</f>
        <v>11605.6926253367</v>
      </c>
      <c r="AH26" s="39" t="n">
        <f aca="false">AH21*AH25</f>
        <v>12257.9027840766</v>
      </c>
      <c r="AI26" s="39" t="n">
        <f aca="false">AI21*AI25</f>
        <v>12911.5382380543</v>
      </c>
      <c r="AJ26" s="39" t="n">
        <f aca="false">AJ21*AJ25</f>
        <v>13566.5562284127</v>
      </c>
      <c r="AK26" s="39" t="n">
        <f aca="false">AK21*AK25</f>
        <v>14222.9152790603</v>
      </c>
      <c r="AL26" s="39" t="n">
        <f aca="false">AL21*AL25</f>
        <v>14880.5751581885</v>
      </c>
    </row>
    <row r="27" customFormat="false" ht="15" hidden="false" customHeight="false" outlineLevel="0" collapsed="false">
      <c r="A27" s="1" t="s">
        <v>239</v>
      </c>
      <c r="B27" s="13" t="s">
        <v>62</v>
      </c>
      <c r="C27" s="40" t="n">
        <f aca="false">C26*12</f>
        <v>0</v>
      </c>
      <c r="D27" s="40" t="n">
        <f aca="false">D26*12</f>
        <v>2177.7</v>
      </c>
      <c r="E27" s="40" t="n">
        <f aca="false">E26*12</f>
        <v>4290.069</v>
      </c>
      <c r="F27" s="40" t="n">
        <f aca="false">F26*12</f>
        <v>9766.26693</v>
      </c>
      <c r="G27" s="40" t="n">
        <f aca="false">G26*12</f>
        <v>11650.9789221</v>
      </c>
      <c r="H27" s="40" t="n">
        <f aca="false">H26*12</f>
        <v>13878.989554437</v>
      </c>
      <c r="I27" s="40" t="n">
        <f aca="false">I26*12</f>
        <v>16097.2798678039</v>
      </c>
      <c r="J27" s="40" t="n">
        <f aca="false">J26*12</f>
        <v>18306.1414717698</v>
      </c>
      <c r="K27" s="40" t="n">
        <f aca="false">K26*12</f>
        <v>20505.8572276167</v>
      </c>
      <c r="L27" s="40" t="n">
        <f aca="false">L26*12</f>
        <v>22696.7015107882</v>
      </c>
      <c r="M27" s="40" t="n">
        <f aca="false">M26*12</f>
        <v>24878.9404654645</v>
      </c>
      <c r="N27" s="40" t="n">
        <f aca="false">N26*12</f>
        <v>27052.8322515006</v>
      </c>
      <c r="O27" s="40" t="n">
        <f aca="false">O26*12</f>
        <v>30679.5586481534</v>
      </c>
      <c r="P27" s="40" t="n">
        <f aca="false">P26*12</f>
        <v>35269.4668887088</v>
      </c>
      <c r="Q27" s="40" t="n">
        <f aca="false">Q26*12</f>
        <v>39901.6058820475</v>
      </c>
      <c r="R27" s="40" t="n">
        <f aca="false">R26*12</f>
        <v>44574.7087055861</v>
      </c>
      <c r="S27" s="40" t="n">
        <f aca="false">S26*12</f>
        <v>49287.5464444185</v>
      </c>
      <c r="T27" s="40" t="n">
        <f aca="false">T26*12</f>
        <v>54038.927051086</v>
      </c>
      <c r="U27" s="40" t="n">
        <f aca="false">U26*12</f>
        <v>58827.6942395534</v>
      </c>
      <c r="V27" s="40" t="n">
        <f aca="false">V26*12</f>
        <v>63652.7264123668</v>
      </c>
      <c r="W27" s="40" t="n">
        <f aca="false">W26*12</f>
        <v>68512.9356199958</v>
      </c>
      <c r="X27" s="40" t="n">
        <f aca="false">X26*12</f>
        <v>73407.2665513959</v>
      </c>
      <c r="Y27" s="40" t="n">
        <f aca="false">Y26*12</f>
        <v>78334.695554854</v>
      </c>
      <c r="Z27" s="40" t="n">
        <f aca="false">Z26*12</f>
        <v>83294.2296882084</v>
      </c>
      <c r="AA27" s="40" t="n">
        <f aca="false">AA26*12</f>
        <v>92699.1510874403</v>
      </c>
      <c r="AB27" s="40" t="n">
        <f aca="false">AB26*12</f>
        <v>100411.352604817</v>
      </c>
      <c r="AC27" s="40" t="n">
        <f aca="false">AC26*12</f>
        <v>108144.087276673</v>
      </c>
      <c r="AD27" s="40" t="n">
        <f aca="false">AD26*12</f>
        <v>115896.739108372</v>
      </c>
      <c r="AE27" s="40" t="n">
        <f aca="false">AE26*12</f>
        <v>123668.710585121</v>
      </c>
      <c r="AF27" s="40" t="n">
        <f aca="false">AF26*12</f>
        <v>131459.422117568</v>
      </c>
      <c r="AG27" s="40" t="n">
        <f aca="false">AG26*12</f>
        <v>139268.311504041</v>
      </c>
      <c r="AH27" s="40" t="n">
        <f aca="false">AH26*12</f>
        <v>147094.833408919</v>
      </c>
      <c r="AI27" s="40" t="n">
        <f aca="false">AI26*12</f>
        <v>154938.458856652</v>
      </c>
      <c r="AJ27" s="40" t="n">
        <f aca="false">AJ26*12</f>
        <v>162798.674740952</v>
      </c>
      <c r="AK27" s="40" t="n">
        <f aca="false">AK26*12</f>
        <v>170674.983348724</v>
      </c>
      <c r="AL27" s="40" t="n">
        <f aca="false">AL26*12</f>
        <v>178566.901898262</v>
      </c>
    </row>
    <row r="28" customFormat="false" ht="15" hidden="false" customHeight="false" outlineLevel="0" collapsed="false">
      <c r="A28" s="3" t="s">
        <v>240</v>
      </c>
      <c r="B28" s="13" t="s">
        <v>62</v>
      </c>
      <c r="C28" s="41" t="n">
        <f aca="false">C26</f>
        <v>0</v>
      </c>
      <c r="D28" s="41" t="n">
        <f aca="false">D26</f>
        <v>181.475</v>
      </c>
      <c r="E28" s="41" t="n">
        <f aca="false">E26</f>
        <v>357.50575</v>
      </c>
      <c r="F28" s="41" t="n">
        <f aca="false">F26</f>
        <v>813.8555775</v>
      </c>
      <c r="G28" s="41" t="n">
        <f aca="false">G26</f>
        <v>970.914910175</v>
      </c>
      <c r="H28" s="41" t="n">
        <f aca="false">H26</f>
        <v>1156.58246286975</v>
      </c>
      <c r="I28" s="41" t="n">
        <f aca="false">I26</f>
        <v>1341.43998898366</v>
      </c>
      <c r="J28" s="41" t="n">
        <f aca="false">J26</f>
        <v>1525.51178931415</v>
      </c>
      <c r="K28" s="41" t="n">
        <f aca="false">K26</f>
        <v>1708.82143563472</v>
      </c>
      <c r="L28" s="41" t="n">
        <f aca="false">L26</f>
        <v>1891.39179256568</v>
      </c>
      <c r="M28" s="41" t="n">
        <f aca="false">M26</f>
        <v>2073.24503878871</v>
      </c>
      <c r="N28" s="41" t="n">
        <f aca="false">N26</f>
        <v>2254.40268762505</v>
      </c>
      <c r="O28" s="41" t="n">
        <f aca="false">O26</f>
        <v>2556.62988734611</v>
      </c>
      <c r="P28" s="41" t="n">
        <f aca="false">P26</f>
        <v>2939.12224072573</v>
      </c>
      <c r="Q28" s="41" t="n">
        <f aca="false">Q26</f>
        <v>3325.13382350396</v>
      </c>
      <c r="R28" s="41" t="n">
        <f aca="false">R26</f>
        <v>3714.55905879884</v>
      </c>
      <c r="S28" s="41" t="n">
        <f aca="false">S26</f>
        <v>4107.29553703488</v>
      </c>
      <c r="T28" s="41" t="n">
        <f aca="false">T26</f>
        <v>4503.24392092383</v>
      </c>
      <c r="U28" s="41" t="n">
        <f aca="false">U26</f>
        <v>4902.30785329611</v>
      </c>
      <c r="V28" s="41" t="n">
        <f aca="false">V26</f>
        <v>5304.39386769723</v>
      </c>
      <c r="W28" s="41" t="n">
        <f aca="false">W26</f>
        <v>5709.41130166631</v>
      </c>
      <c r="X28" s="41" t="n">
        <f aca="false">X26</f>
        <v>6117.27221261632</v>
      </c>
      <c r="Y28" s="41" t="n">
        <f aca="false">Y26</f>
        <v>6527.89129623784</v>
      </c>
      <c r="Z28" s="41" t="n">
        <f aca="false">Z26</f>
        <v>6941.1858073507</v>
      </c>
      <c r="AA28" s="41" t="n">
        <f aca="false">AA26</f>
        <v>7724.92925728669</v>
      </c>
      <c r="AB28" s="41" t="n">
        <f aca="false">AB26</f>
        <v>8367.61271706809</v>
      </c>
      <c r="AC28" s="41" t="n">
        <f aca="false">AC26</f>
        <v>9012.00727305605</v>
      </c>
      <c r="AD28" s="41" t="n">
        <f aca="false">AD26</f>
        <v>9658.06159236436</v>
      </c>
      <c r="AE28" s="41" t="n">
        <f aca="false">AE26</f>
        <v>10305.7258820934</v>
      </c>
      <c r="AF28" s="41" t="n">
        <f aca="false">AF26</f>
        <v>10954.9518431306</v>
      </c>
      <c r="AG28" s="41" t="n">
        <f aca="false">AG26</f>
        <v>11605.6926253367</v>
      </c>
      <c r="AH28" s="41" t="n">
        <f aca="false">AH26</f>
        <v>12257.9027840766</v>
      </c>
      <c r="AI28" s="41" t="n">
        <f aca="false">AI26</f>
        <v>12911.5382380543</v>
      </c>
      <c r="AJ28" s="41" t="n">
        <f aca="false">AJ26</f>
        <v>13566.5562284127</v>
      </c>
      <c r="AK28" s="41" t="n">
        <f aca="false">AK26</f>
        <v>14222.9152790603</v>
      </c>
      <c r="AL28" s="41" t="n">
        <f aca="false">AL26</f>
        <v>14880.5751581885</v>
      </c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customFormat="false" ht="15" hidden="false" customHeight="false" outlineLevel="0" collapsed="false">
      <c r="A30" s="15" t="s">
        <v>241</v>
      </c>
      <c r="B30" s="16"/>
      <c r="C30" s="16"/>
      <c r="D30" s="16"/>
      <c r="E30" s="16"/>
      <c r="F30" s="1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customFormat="false" ht="15" hidden="false" customHeight="false" outlineLevel="0" collapsed="false">
      <c r="A31" s="1" t="s">
        <v>242</v>
      </c>
      <c r="B31" s="11" t="n">
        <v>30</v>
      </c>
      <c r="C31" s="1" t="n">
        <f aca="false">IF(MAX(Revenue!$C$21:$AL$21)&lt;B31,"not within 36 months",COUNTIF(Revenue!$C$21:$AL$21,"&lt;"&amp;B31)+1)</f>
        <v>8</v>
      </c>
      <c r="D31" s="42" t="n">
        <f aca="false">IF(ISNUMBER(C31),INDEX(Revenue!$C$4:$AL$4,1,C31),"-")</f>
        <v>46600</v>
      </c>
      <c r="E31" s="13" t="s">
        <v>243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customFormat="false" ht="15" hidden="false" customHeight="false" outlineLevel="0" collapsed="false">
      <c r="A32" s="1" t="s">
        <v>244</v>
      </c>
      <c r="B32" s="11" t="n">
        <v>100</v>
      </c>
      <c r="C32" s="1" t="n">
        <f aca="false">IF(MAX(Revenue!$C$21:$AL$21)&lt;B32,"not within 36 months",COUNTIF(Revenue!$C$21:$AL$21,"&lt;"&amp;B32)+1)</f>
        <v>20</v>
      </c>
      <c r="D32" s="42" t="n">
        <f aca="false">IF(ISNUMBER(C32),INDEX(Revenue!$C$4:$AL$4,1,C32),"-")</f>
        <v>46966</v>
      </c>
      <c r="E32" s="13" t="s">
        <v>243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customFormat="false" ht="15" hidden="false" customHeight="false" outlineLevel="0" collapsed="false">
      <c r="A33" s="1" t="s">
        <v>245</v>
      </c>
      <c r="B33" s="11" t="n">
        <v>300</v>
      </c>
      <c r="C33" s="1" t="str">
        <f aca="false">IF(MAX(Revenue!$C$21:$AL$21)&lt;B33,"not within 36 months",COUNTIF(Revenue!$C$21:$AL$21,"&lt;"&amp;B33)+1)</f>
        <v>not within 36 months</v>
      </c>
      <c r="D33" s="42" t="str">
        <f aca="false">IF(ISNUMBER(C33),INDEX(Revenue!$C$4:$AL$4,1,C33),"-")</f>
        <v>-</v>
      </c>
      <c r="E33" s="13" t="s">
        <v>243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8" min="3" style="0" width="11"/>
  </cols>
  <sheetData>
    <row r="1" customFormat="false" ht="15" hidden="false" customHeight="false" outlineLevel="0" collapsed="false">
      <c r="A1" s="2" t="s">
        <v>246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customFormat="false" ht="15" hidden="false" customHeight="false" outlineLevel="0" collapsed="false">
      <c r="A2" s="13" t="s">
        <v>247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customFormat="false" ht="15" hidden="false" customHeight="false" outlineLevel="0" collapsed="false">
      <c r="A3" s="15" t="s">
        <v>218</v>
      </c>
      <c r="B3" s="16"/>
      <c r="C3" s="43" t="n">
        <f aca="false">Revenue!C3</f>
        <v>1</v>
      </c>
      <c r="D3" s="43" t="n">
        <f aca="false">Revenue!D3</f>
        <v>2</v>
      </c>
      <c r="E3" s="43" t="n">
        <f aca="false">Revenue!E3</f>
        <v>3</v>
      </c>
      <c r="F3" s="43" t="n">
        <f aca="false">Revenue!F3</f>
        <v>4</v>
      </c>
      <c r="G3" s="43" t="n">
        <f aca="false">Revenue!G3</f>
        <v>5</v>
      </c>
      <c r="H3" s="43" t="n">
        <f aca="false">Revenue!H3</f>
        <v>6</v>
      </c>
      <c r="I3" s="43" t="n">
        <f aca="false">Revenue!I3</f>
        <v>7</v>
      </c>
      <c r="J3" s="43" t="n">
        <f aca="false">Revenue!J3</f>
        <v>8</v>
      </c>
      <c r="K3" s="43" t="n">
        <f aca="false">Revenue!K3</f>
        <v>9</v>
      </c>
      <c r="L3" s="43" t="n">
        <f aca="false">Revenue!L3</f>
        <v>10</v>
      </c>
      <c r="M3" s="43" t="n">
        <f aca="false">Revenue!M3</f>
        <v>11</v>
      </c>
      <c r="N3" s="43" t="n">
        <f aca="false">Revenue!N3</f>
        <v>12</v>
      </c>
      <c r="O3" s="43" t="n">
        <f aca="false">Revenue!O3</f>
        <v>13</v>
      </c>
      <c r="P3" s="43" t="n">
        <f aca="false">Revenue!P3</f>
        <v>14</v>
      </c>
      <c r="Q3" s="43" t="n">
        <f aca="false">Revenue!Q3</f>
        <v>15</v>
      </c>
      <c r="R3" s="43" t="n">
        <f aca="false">Revenue!R3</f>
        <v>16</v>
      </c>
      <c r="S3" s="43" t="n">
        <f aca="false">Revenue!S3</f>
        <v>17</v>
      </c>
      <c r="T3" s="43" t="n">
        <f aca="false">Revenue!T3</f>
        <v>18</v>
      </c>
      <c r="U3" s="43" t="n">
        <f aca="false">Revenue!U3</f>
        <v>19</v>
      </c>
      <c r="V3" s="43" t="n">
        <f aca="false">Revenue!V3</f>
        <v>20</v>
      </c>
      <c r="W3" s="43" t="n">
        <f aca="false">Revenue!W3</f>
        <v>21</v>
      </c>
      <c r="X3" s="43" t="n">
        <f aca="false">Revenue!X3</f>
        <v>22</v>
      </c>
      <c r="Y3" s="43" t="n">
        <f aca="false">Revenue!Y3</f>
        <v>23</v>
      </c>
      <c r="Z3" s="43" t="n">
        <f aca="false">Revenue!Z3</f>
        <v>24</v>
      </c>
      <c r="AA3" s="43" t="n">
        <f aca="false">Revenue!AA3</f>
        <v>25</v>
      </c>
      <c r="AB3" s="43" t="n">
        <f aca="false">Revenue!AB3</f>
        <v>26</v>
      </c>
      <c r="AC3" s="43" t="n">
        <f aca="false">Revenue!AC3</f>
        <v>27</v>
      </c>
      <c r="AD3" s="43" t="n">
        <f aca="false">Revenue!AD3</f>
        <v>28</v>
      </c>
      <c r="AE3" s="43" t="n">
        <f aca="false">Revenue!AE3</f>
        <v>29</v>
      </c>
      <c r="AF3" s="43" t="n">
        <f aca="false">Revenue!AF3</f>
        <v>30</v>
      </c>
      <c r="AG3" s="43" t="n">
        <f aca="false">Revenue!AG3</f>
        <v>31</v>
      </c>
      <c r="AH3" s="43" t="n">
        <f aca="false">Revenue!AH3</f>
        <v>32</v>
      </c>
      <c r="AI3" s="43" t="n">
        <f aca="false">Revenue!AI3</f>
        <v>33</v>
      </c>
      <c r="AJ3" s="43" t="n">
        <f aca="false">Revenue!AJ3</f>
        <v>34</v>
      </c>
      <c r="AK3" s="43" t="n">
        <f aca="false">Revenue!AK3</f>
        <v>35</v>
      </c>
      <c r="AL3" s="43" t="n">
        <f aca="false">Revenue!AL3</f>
        <v>36</v>
      </c>
    </row>
    <row r="4" customFormat="false" ht="15" hidden="false" customHeight="false" outlineLevel="0" collapsed="false">
      <c r="A4" s="15" t="s">
        <v>219</v>
      </c>
      <c r="B4" s="16"/>
      <c r="C4" s="44" t="n">
        <f aca="false">Revenue!C4</f>
        <v>46388</v>
      </c>
      <c r="D4" s="44" t="n">
        <f aca="false">Revenue!D4</f>
        <v>46419</v>
      </c>
      <c r="E4" s="44" t="n">
        <f aca="false">Revenue!E4</f>
        <v>46447</v>
      </c>
      <c r="F4" s="44" t="n">
        <f aca="false">Revenue!F4</f>
        <v>46478</v>
      </c>
      <c r="G4" s="44" t="n">
        <f aca="false">Revenue!G4</f>
        <v>46508</v>
      </c>
      <c r="H4" s="44" t="n">
        <f aca="false">Revenue!H4</f>
        <v>46539</v>
      </c>
      <c r="I4" s="44" t="n">
        <f aca="false">Revenue!I4</f>
        <v>46569</v>
      </c>
      <c r="J4" s="44" t="n">
        <f aca="false">Revenue!J4</f>
        <v>46600</v>
      </c>
      <c r="K4" s="44" t="n">
        <f aca="false">Revenue!K4</f>
        <v>46631</v>
      </c>
      <c r="L4" s="44" t="n">
        <f aca="false">Revenue!L4</f>
        <v>46661</v>
      </c>
      <c r="M4" s="44" t="n">
        <f aca="false">Revenue!M4</f>
        <v>46692</v>
      </c>
      <c r="N4" s="44" t="n">
        <f aca="false">Revenue!N4</f>
        <v>46722</v>
      </c>
      <c r="O4" s="44" t="n">
        <f aca="false">Revenue!O4</f>
        <v>46753</v>
      </c>
      <c r="P4" s="44" t="n">
        <f aca="false">Revenue!P4</f>
        <v>46784</v>
      </c>
      <c r="Q4" s="44" t="n">
        <f aca="false">Revenue!Q4</f>
        <v>46813</v>
      </c>
      <c r="R4" s="44" t="n">
        <f aca="false">Revenue!R4</f>
        <v>46844</v>
      </c>
      <c r="S4" s="44" t="n">
        <f aca="false">Revenue!S4</f>
        <v>46874</v>
      </c>
      <c r="T4" s="44" t="n">
        <f aca="false">Revenue!T4</f>
        <v>46905</v>
      </c>
      <c r="U4" s="44" t="n">
        <f aca="false">Revenue!U4</f>
        <v>46935</v>
      </c>
      <c r="V4" s="44" t="n">
        <f aca="false">Revenue!V4</f>
        <v>46966</v>
      </c>
      <c r="W4" s="44" t="n">
        <f aca="false">Revenue!W4</f>
        <v>46997</v>
      </c>
      <c r="X4" s="44" t="n">
        <f aca="false">Revenue!X4</f>
        <v>47027</v>
      </c>
      <c r="Y4" s="44" t="n">
        <f aca="false">Revenue!Y4</f>
        <v>47058</v>
      </c>
      <c r="Z4" s="44" t="n">
        <f aca="false">Revenue!Z4</f>
        <v>47088</v>
      </c>
      <c r="AA4" s="44" t="n">
        <f aca="false">Revenue!AA4</f>
        <v>47119</v>
      </c>
      <c r="AB4" s="44" t="n">
        <f aca="false">Revenue!AB4</f>
        <v>47150</v>
      </c>
      <c r="AC4" s="44" t="n">
        <f aca="false">Revenue!AC4</f>
        <v>47178</v>
      </c>
      <c r="AD4" s="44" t="n">
        <f aca="false">Revenue!AD4</f>
        <v>47209</v>
      </c>
      <c r="AE4" s="44" t="n">
        <f aca="false">Revenue!AE4</f>
        <v>47239</v>
      </c>
      <c r="AF4" s="44" t="n">
        <f aca="false">Revenue!AF4</f>
        <v>47270</v>
      </c>
      <c r="AG4" s="44" t="n">
        <f aca="false">Revenue!AG4</f>
        <v>47300</v>
      </c>
      <c r="AH4" s="44" t="n">
        <f aca="false">Revenue!AH4</f>
        <v>47331</v>
      </c>
      <c r="AI4" s="44" t="n">
        <f aca="false">Revenue!AI4</f>
        <v>47362</v>
      </c>
      <c r="AJ4" s="44" t="n">
        <f aca="false">Revenue!AJ4</f>
        <v>47392</v>
      </c>
      <c r="AK4" s="44" t="n">
        <f aca="false">Revenue!AK4</f>
        <v>47423</v>
      </c>
      <c r="AL4" s="44" t="n">
        <f aca="false">Revenue!AL4</f>
        <v>47453</v>
      </c>
    </row>
    <row r="5" customFormat="false" ht="15" hidden="false" customHeight="false" outlineLevel="0" collapsed="false">
      <c r="A5" s="15" t="s">
        <v>220</v>
      </c>
      <c r="B5" s="16"/>
      <c r="C5" s="43" t="n">
        <f aca="false">Revenue!C5</f>
        <v>1</v>
      </c>
      <c r="D5" s="43" t="n">
        <f aca="false">Revenue!D5</f>
        <v>1</v>
      </c>
      <c r="E5" s="43" t="n">
        <f aca="false">Revenue!E5</f>
        <v>1</v>
      </c>
      <c r="F5" s="43" t="n">
        <f aca="false">Revenue!F5</f>
        <v>1</v>
      </c>
      <c r="G5" s="43" t="n">
        <f aca="false">Revenue!G5</f>
        <v>1</v>
      </c>
      <c r="H5" s="43" t="n">
        <f aca="false">Revenue!H5</f>
        <v>1</v>
      </c>
      <c r="I5" s="43" t="n">
        <f aca="false">Revenue!I5</f>
        <v>1</v>
      </c>
      <c r="J5" s="43" t="n">
        <f aca="false">Revenue!J5</f>
        <v>1</v>
      </c>
      <c r="K5" s="43" t="n">
        <f aca="false">Revenue!K5</f>
        <v>1</v>
      </c>
      <c r="L5" s="43" t="n">
        <f aca="false">Revenue!L5</f>
        <v>1</v>
      </c>
      <c r="M5" s="43" t="n">
        <f aca="false">Revenue!M5</f>
        <v>1</v>
      </c>
      <c r="N5" s="43" t="n">
        <f aca="false">Revenue!N5</f>
        <v>1</v>
      </c>
      <c r="O5" s="43" t="n">
        <f aca="false">Revenue!O5</f>
        <v>2</v>
      </c>
      <c r="P5" s="43" t="n">
        <f aca="false">Revenue!P5</f>
        <v>2</v>
      </c>
      <c r="Q5" s="43" t="n">
        <f aca="false">Revenue!Q5</f>
        <v>2</v>
      </c>
      <c r="R5" s="43" t="n">
        <f aca="false">Revenue!R5</f>
        <v>2</v>
      </c>
      <c r="S5" s="43" t="n">
        <f aca="false">Revenue!S5</f>
        <v>2</v>
      </c>
      <c r="T5" s="43" t="n">
        <f aca="false">Revenue!T5</f>
        <v>2</v>
      </c>
      <c r="U5" s="43" t="n">
        <f aca="false">Revenue!U5</f>
        <v>2</v>
      </c>
      <c r="V5" s="43" t="n">
        <f aca="false">Revenue!V5</f>
        <v>2</v>
      </c>
      <c r="W5" s="43" t="n">
        <f aca="false">Revenue!W5</f>
        <v>2</v>
      </c>
      <c r="X5" s="43" t="n">
        <f aca="false">Revenue!X5</f>
        <v>2</v>
      </c>
      <c r="Y5" s="43" t="n">
        <f aca="false">Revenue!Y5</f>
        <v>2</v>
      </c>
      <c r="Z5" s="43" t="n">
        <f aca="false">Revenue!Z5</f>
        <v>2</v>
      </c>
      <c r="AA5" s="43" t="n">
        <f aca="false">Revenue!AA5</f>
        <v>3</v>
      </c>
      <c r="AB5" s="43" t="n">
        <f aca="false">Revenue!AB5</f>
        <v>3</v>
      </c>
      <c r="AC5" s="43" t="n">
        <f aca="false">Revenue!AC5</f>
        <v>3</v>
      </c>
      <c r="AD5" s="43" t="n">
        <f aca="false">Revenue!AD5</f>
        <v>3</v>
      </c>
      <c r="AE5" s="43" t="n">
        <f aca="false">Revenue!AE5</f>
        <v>3</v>
      </c>
      <c r="AF5" s="43" t="n">
        <f aca="false">Revenue!AF5</f>
        <v>3</v>
      </c>
      <c r="AG5" s="43" t="n">
        <f aca="false">Revenue!AG5</f>
        <v>3</v>
      </c>
      <c r="AH5" s="43" t="n">
        <f aca="false">Revenue!AH5</f>
        <v>3</v>
      </c>
      <c r="AI5" s="43" t="n">
        <f aca="false">Revenue!AI5</f>
        <v>3</v>
      </c>
      <c r="AJ5" s="43" t="n">
        <f aca="false">Revenue!AJ5</f>
        <v>3</v>
      </c>
      <c r="AK5" s="43" t="n">
        <f aca="false">Revenue!AK5</f>
        <v>3</v>
      </c>
      <c r="AL5" s="43" t="n">
        <f aca="false">Revenue!AL5</f>
        <v>3</v>
      </c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customFormat="false" ht="15" hidden="false" customHeight="false" outlineLevel="0" collapsed="false">
      <c r="A7" s="15" t="s">
        <v>248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</row>
    <row r="8" customFormat="false" ht="15" hidden="false" customHeight="false" outlineLevel="0" collapsed="false">
      <c r="A8" s="1" t="s">
        <v>249</v>
      </c>
      <c r="B8" s="13" t="s">
        <v>62</v>
      </c>
      <c r="C8" s="40" t="n">
        <f aca="false">IF(C$3&gt;=1,in_SalFounder*(1+in_CAM)*(1+in_Raise)^(C$5-1),0)</f>
        <v>1022.5</v>
      </c>
      <c r="D8" s="40" t="n">
        <f aca="false">IF(D$3&gt;=1,in_SalFounder*(1+in_CAM)*(1+in_Raise)^(D$5-1),0)</f>
        <v>1022.5</v>
      </c>
      <c r="E8" s="40" t="n">
        <f aca="false">IF(E$3&gt;=1,in_SalFounder*(1+in_CAM)*(1+in_Raise)^(E$5-1),0)</f>
        <v>1022.5</v>
      </c>
      <c r="F8" s="40" t="n">
        <f aca="false">IF(F$3&gt;=1,in_SalFounder*(1+in_CAM)*(1+in_Raise)^(F$5-1),0)</f>
        <v>1022.5</v>
      </c>
      <c r="G8" s="40" t="n">
        <f aca="false">IF(G$3&gt;=1,in_SalFounder*(1+in_CAM)*(1+in_Raise)^(G$5-1),0)</f>
        <v>1022.5</v>
      </c>
      <c r="H8" s="40" t="n">
        <f aca="false">IF(H$3&gt;=1,in_SalFounder*(1+in_CAM)*(1+in_Raise)^(H$5-1),0)</f>
        <v>1022.5</v>
      </c>
      <c r="I8" s="40" t="n">
        <f aca="false">IF(I$3&gt;=1,in_SalFounder*(1+in_CAM)*(1+in_Raise)^(I$5-1),0)</f>
        <v>1022.5</v>
      </c>
      <c r="J8" s="40" t="n">
        <f aca="false">IF(J$3&gt;=1,in_SalFounder*(1+in_CAM)*(1+in_Raise)^(J$5-1),0)</f>
        <v>1022.5</v>
      </c>
      <c r="K8" s="40" t="n">
        <f aca="false">IF(K$3&gt;=1,in_SalFounder*(1+in_CAM)*(1+in_Raise)^(K$5-1),0)</f>
        <v>1022.5</v>
      </c>
      <c r="L8" s="40" t="n">
        <f aca="false">IF(L$3&gt;=1,in_SalFounder*(1+in_CAM)*(1+in_Raise)^(L$5-1),0)</f>
        <v>1022.5</v>
      </c>
      <c r="M8" s="40" t="n">
        <f aca="false">IF(M$3&gt;=1,in_SalFounder*(1+in_CAM)*(1+in_Raise)^(M$5-1),0)</f>
        <v>1022.5</v>
      </c>
      <c r="N8" s="40" t="n">
        <f aca="false">IF(N$3&gt;=1,in_SalFounder*(1+in_CAM)*(1+in_Raise)^(N$5-1),0)</f>
        <v>1022.5</v>
      </c>
      <c r="O8" s="40" t="n">
        <f aca="false">IF(O$3&gt;=1,in_SalFounder*(1+in_CAM)*(1+in_Raise)^(O$5-1),0)</f>
        <v>1073.625</v>
      </c>
      <c r="P8" s="40" t="n">
        <f aca="false">IF(P$3&gt;=1,in_SalFounder*(1+in_CAM)*(1+in_Raise)^(P$5-1),0)</f>
        <v>1073.625</v>
      </c>
      <c r="Q8" s="40" t="n">
        <f aca="false">IF(Q$3&gt;=1,in_SalFounder*(1+in_CAM)*(1+in_Raise)^(Q$5-1),0)</f>
        <v>1073.625</v>
      </c>
      <c r="R8" s="40" t="n">
        <f aca="false">IF(R$3&gt;=1,in_SalFounder*(1+in_CAM)*(1+in_Raise)^(R$5-1),0)</f>
        <v>1073.625</v>
      </c>
      <c r="S8" s="40" t="n">
        <f aca="false">IF(S$3&gt;=1,in_SalFounder*(1+in_CAM)*(1+in_Raise)^(S$5-1),0)</f>
        <v>1073.625</v>
      </c>
      <c r="T8" s="40" t="n">
        <f aca="false">IF(T$3&gt;=1,in_SalFounder*(1+in_CAM)*(1+in_Raise)^(T$5-1),0)</f>
        <v>1073.625</v>
      </c>
      <c r="U8" s="40" t="n">
        <f aca="false">IF(U$3&gt;=1,in_SalFounder*(1+in_CAM)*(1+in_Raise)^(U$5-1),0)</f>
        <v>1073.625</v>
      </c>
      <c r="V8" s="40" t="n">
        <f aca="false">IF(V$3&gt;=1,in_SalFounder*(1+in_CAM)*(1+in_Raise)^(V$5-1),0)</f>
        <v>1073.625</v>
      </c>
      <c r="W8" s="40" t="n">
        <f aca="false">IF(W$3&gt;=1,in_SalFounder*(1+in_CAM)*(1+in_Raise)^(W$5-1),0)</f>
        <v>1073.625</v>
      </c>
      <c r="X8" s="40" t="n">
        <f aca="false">IF(X$3&gt;=1,in_SalFounder*(1+in_CAM)*(1+in_Raise)^(X$5-1),0)</f>
        <v>1073.625</v>
      </c>
      <c r="Y8" s="40" t="n">
        <f aca="false">IF(Y$3&gt;=1,in_SalFounder*(1+in_CAM)*(1+in_Raise)^(Y$5-1),0)</f>
        <v>1073.625</v>
      </c>
      <c r="Z8" s="40" t="n">
        <f aca="false">IF(Z$3&gt;=1,in_SalFounder*(1+in_CAM)*(1+in_Raise)^(Z$5-1),0)</f>
        <v>1073.625</v>
      </c>
      <c r="AA8" s="40" t="n">
        <f aca="false">IF(AA$3&gt;=1,in_SalFounder*(1+in_CAM)*(1+in_Raise)^(AA$5-1),0)</f>
        <v>1127.30625</v>
      </c>
      <c r="AB8" s="40" t="n">
        <f aca="false">IF(AB$3&gt;=1,in_SalFounder*(1+in_CAM)*(1+in_Raise)^(AB$5-1),0)</f>
        <v>1127.30625</v>
      </c>
      <c r="AC8" s="40" t="n">
        <f aca="false">IF(AC$3&gt;=1,in_SalFounder*(1+in_CAM)*(1+in_Raise)^(AC$5-1),0)</f>
        <v>1127.30625</v>
      </c>
      <c r="AD8" s="40" t="n">
        <f aca="false">IF(AD$3&gt;=1,in_SalFounder*(1+in_CAM)*(1+in_Raise)^(AD$5-1),0)</f>
        <v>1127.30625</v>
      </c>
      <c r="AE8" s="40" t="n">
        <f aca="false">IF(AE$3&gt;=1,in_SalFounder*(1+in_CAM)*(1+in_Raise)^(AE$5-1),0)</f>
        <v>1127.30625</v>
      </c>
      <c r="AF8" s="40" t="n">
        <f aca="false">IF(AF$3&gt;=1,in_SalFounder*(1+in_CAM)*(1+in_Raise)^(AF$5-1),0)</f>
        <v>1127.30625</v>
      </c>
      <c r="AG8" s="40" t="n">
        <f aca="false">IF(AG$3&gt;=1,in_SalFounder*(1+in_CAM)*(1+in_Raise)^(AG$5-1),0)</f>
        <v>1127.30625</v>
      </c>
      <c r="AH8" s="40" t="n">
        <f aca="false">IF(AH$3&gt;=1,in_SalFounder*(1+in_CAM)*(1+in_Raise)^(AH$5-1),0)</f>
        <v>1127.30625</v>
      </c>
      <c r="AI8" s="40" t="n">
        <f aca="false">IF(AI$3&gt;=1,in_SalFounder*(1+in_CAM)*(1+in_Raise)^(AI$5-1),0)</f>
        <v>1127.30625</v>
      </c>
      <c r="AJ8" s="40" t="n">
        <f aca="false">IF(AJ$3&gt;=1,in_SalFounder*(1+in_CAM)*(1+in_Raise)^(AJ$5-1),0)</f>
        <v>1127.30625</v>
      </c>
      <c r="AK8" s="40" t="n">
        <f aca="false">IF(AK$3&gt;=1,in_SalFounder*(1+in_CAM)*(1+in_Raise)^(AK$5-1),0)</f>
        <v>1127.30625</v>
      </c>
      <c r="AL8" s="40" t="n">
        <f aca="false">IF(AL$3&gt;=1,in_SalFounder*(1+in_CAM)*(1+in_Raise)^(AL$5-1),0)</f>
        <v>1127.30625</v>
      </c>
    </row>
    <row r="9" customFormat="false" ht="15" hidden="false" customHeight="false" outlineLevel="0" collapsed="false">
      <c r="A9" s="1" t="s">
        <v>250</v>
      </c>
      <c r="B9" s="13" t="s">
        <v>62</v>
      </c>
      <c r="C9" s="40" t="n">
        <f aca="false">IF(C$3&gt;=1,in_SalFounder*(1+in_CAM)*(1+in_Raise)^(C$5-1),0)</f>
        <v>1022.5</v>
      </c>
      <c r="D9" s="40" t="n">
        <f aca="false">IF(D$3&gt;=1,in_SalFounder*(1+in_CAM)*(1+in_Raise)^(D$5-1),0)</f>
        <v>1022.5</v>
      </c>
      <c r="E9" s="40" t="n">
        <f aca="false">IF(E$3&gt;=1,in_SalFounder*(1+in_CAM)*(1+in_Raise)^(E$5-1),0)</f>
        <v>1022.5</v>
      </c>
      <c r="F9" s="40" t="n">
        <f aca="false">IF(F$3&gt;=1,in_SalFounder*(1+in_CAM)*(1+in_Raise)^(F$5-1),0)</f>
        <v>1022.5</v>
      </c>
      <c r="G9" s="40" t="n">
        <f aca="false">IF(G$3&gt;=1,in_SalFounder*(1+in_CAM)*(1+in_Raise)^(G$5-1),0)</f>
        <v>1022.5</v>
      </c>
      <c r="H9" s="40" t="n">
        <f aca="false">IF(H$3&gt;=1,in_SalFounder*(1+in_CAM)*(1+in_Raise)^(H$5-1),0)</f>
        <v>1022.5</v>
      </c>
      <c r="I9" s="40" t="n">
        <f aca="false">IF(I$3&gt;=1,in_SalFounder*(1+in_CAM)*(1+in_Raise)^(I$5-1),0)</f>
        <v>1022.5</v>
      </c>
      <c r="J9" s="40" t="n">
        <f aca="false">IF(J$3&gt;=1,in_SalFounder*(1+in_CAM)*(1+in_Raise)^(J$5-1),0)</f>
        <v>1022.5</v>
      </c>
      <c r="K9" s="40" t="n">
        <f aca="false">IF(K$3&gt;=1,in_SalFounder*(1+in_CAM)*(1+in_Raise)^(K$5-1),0)</f>
        <v>1022.5</v>
      </c>
      <c r="L9" s="40" t="n">
        <f aca="false">IF(L$3&gt;=1,in_SalFounder*(1+in_CAM)*(1+in_Raise)^(L$5-1),0)</f>
        <v>1022.5</v>
      </c>
      <c r="M9" s="40" t="n">
        <f aca="false">IF(M$3&gt;=1,in_SalFounder*(1+in_CAM)*(1+in_Raise)^(M$5-1),0)</f>
        <v>1022.5</v>
      </c>
      <c r="N9" s="40" t="n">
        <f aca="false">IF(N$3&gt;=1,in_SalFounder*(1+in_CAM)*(1+in_Raise)^(N$5-1),0)</f>
        <v>1022.5</v>
      </c>
      <c r="O9" s="40" t="n">
        <f aca="false">IF(O$3&gt;=1,in_SalFounder*(1+in_CAM)*(1+in_Raise)^(O$5-1),0)</f>
        <v>1073.625</v>
      </c>
      <c r="P9" s="40" t="n">
        <f aca="false">IF(P$3&gt;=1,in_SalFounder*(1+in_CAM)*(1+in_Raise)^(P$5-1),0)</f>
        <v>1073.625</v>
      </c>
      <c r="Q9" s="40" t="n">
        <f aca="false">IF(Q$3&gt;=1,in_SalFounder*(1+in_CAM)*(1+in_Raise)^(Q$5-1),0)</f>
        <v>1073.625</v>
      </c>
      <c r="R9" s="40" t="n">
        <f aca="false">IF(R$3&gt;=1,in_SalFounder*(1+in_CAM)*(1+in_Raise)^(R$5-1),0)</f>
        <v>1073.625</v>
      </c>
      <c r="S9" s="40" t="n">
        <f aca="false">IF(S$3&gt;=1,in_SalFounder*(1+in_CAM)*(1+in_Raise)^(S$5-1),0)</f>
        <v>1073.625</v>
      </c>
      <c r="T9" s="40" t="n">
        <f aca="false">IF(T$3&gt;=1,in_SalFounder*(1+in_CAM)*(1+in_Raise)^(T$5-1),0)</f>
        <v>1073.625</v>
      </c>
      <c r="U9" s="40" t="n">
        <f aca="false">IF(U$3&gt;=1,in_SalFounder*(1+in_CAM)*(1+in_Raise)^(U$5-1),0)</f>
        <v>1073.625</v>
      </c>
      <c r="V9" s="40" t="n">
        <f aca="false">IF(V$3&gt;=1,in_SalFounder*(1+in_CAM)*(1+in_Raise)^(V$5-1),0)</f>
        <v>1073.625</v>
      </c>
      <c r="W9" s="40" t="n">
        <f aca="false">IF(W$3&gt;=1,in_SalFounder*(1+in_CAM)*(1+in_Raise)^(W$5-1),0)</f>
        <v>1073.625</v>
      </c>
      <c r="X9" s="40" t="n">
        <f aca="false">IF(X$3&gt;=1,in_SalFounder*(1+in_CAM)*(1+in_Raise)^(X$5-1),0)</f>
        <v>1073.625</v>
      </c>
      <c r="Y9" s="40" t="n">
        <f aca="false">IF(Y$3&gt;=1,in_SalFounder*(1+in_CAM)*(1+in_Raise)^(Y$5-1),0)</f>
        <v>1073.625</v>
      </c>
      <c r="Z9" s="40" t="n">
        <f aca="false">IF(Z$3&gt;=1,in_SalFounder*(1+in_CAM)*(1+in_Raise)^(Z$5-1),0)</f>
        <v>1073.625</v>
      </c>
      <c r="AA9" s="40" t="n">
        <f aca="false">IF(AA$3&gt;=1,in_SalFounder*(1+in_CAM)*(1+in_Raise)^(AA$5-1),0)</f>
        <v>1127.30625</v>
      </c>
      <c r="AB9" s="40" t="n">
        <f aca="false">IF(AB$3&gt;=1,in_SalFounder*(1+in_CAM)*(1+in_Raise)^(AB$5-1),0)</f>
        <v>1127.30625</v>
      </c>
      <c r="AC9" s="40" t="n">
        <f aca="false">IF(AC$3&gt;=1,in_SalFounder*(1+in_CAM)*(1+in_Raise)^(AC$5-1),0)</f>
        <v>1127.30625</v>
      </c>
      <c r="AD9" s="40" t="n">
        <f aca="false">IF(AD$3&gt;=1,in_SalFounder*(1+in_CAM)*(1+in_Raise)^(AD$5-1),0)</f>
        <v>1127.30625</v>
      </c>
      <c r="AE9" s="40" t="n">
        <f aca="false">IF(AE$3&gt;=1,in_SalFounder*(1+in_CAM)*(1+in_Raise)^(AE$5-1),0)</f>
        <v>1127.30625</v>
      </c>
      <c r="AF9" s="40" t="n">
        <f aca="false">IF(AF$3&gt;=1,in_SalFounder*(1+in_CAM)*(1+in_Raise)^(AF$5-1),0)</f>
        <v>1127.30625</v>
      </c>
      <c r="AG9" s="40" t="n">
        <f aca="false">IF(AG$3&gt;=1,in_SalFounder*(1+in_CAM)*(1+in_Raise)^(AG$5-1),0)</f>
        <v>1127.30625</v>
      </c>
      <c r="AH9" s="40" t="n">
        <f aca="false">IF(AH$3&gt;=1,in_SalFounder*(1+in_CAM)*(1+in_Raise)^(AH$5-1),0)</f>
        <v>1127.30625</v>
      </c>
      <c r="AI9" s="40" t="n">
        <f aca="false">IF(AI$3&gt;=1,in_SalFounder*(1+in_CAM)*(1+in_Raise)^(AI$5-1),0)</f>
        <v>1127.30625</v>
      </c>
      <c r="AJ9" s="40" t="n">
        <f aca="false">IF(AJ$3&gt;=1,in_SalFounder*(1+in_CAM)*(1+in_Raise)^(AJ$5-1),0)</f>
        <v>1127.30625</v>
      </c>
      <c r="AK9" s="40" t="n">
        <f aca="false">IF(AK$3&gt;=1,in_SalFounder*(1+in_CAM)*(1+in_Raise)^(AK$5-1),0)</f>
        <v>1127.30625</v>
      </c>
      <c r="AL9" s="40" t="n">
        <f aca="false">IF(AL$3&gt;=1,in_SalFounder*(1+in_CAM)*(1+in_Raise)^(AL$5-1),0)</f>
        <v>1127.30625</v>
      </c>
    </row>
    <row r="10" customFormat="false" ht="15" hidden="false" customHeight="false" outlineLevel="0" collapsed="false">
      <c r="A10" s="1" t="s">
        <v>251</v>
      </c>
      <c r="B10" s="13" t="s">
        <v>62</v>
      </c>
      <c r="C10" s="40" t="n">
        <f aca="false">IF(C$3&gt;=in_SalesStart,in_SalSales*IF(C$3&gt;=in_SalesFullStart,1,in_SalesFTE)*(1+in_CAM)*(1+in_Raise)^(C$5-1),0)</f>
        <v>0</v>
      </c>
      <c r="D10" s="40" t="n">
        <f aca="false">IF(D$3&gt;=in_SalesStart,in_SalSales*IF(D$3&gt;=in_SalesFullStart,1,in_SalesFTE)*(1+in_CAM)*(1+in_Raise)^(D$5-1),0)</f>
        <v>0</v>
      </c>
      <c r="E10" s="40" t="n">
        <f aca="false">IF(E$3&gt;=in_SalesStart,in_SalSales*IF(E$3&gt;=in_SalesFullStart,1,in_SalesFTE)*(1+in_CAM)*(1+in_Raise)^(E$5-1),0)</f>
        <v>1022.5</v>
      </c>
      <c r="F10" s="40" t="n">
        <f aca="false">IF(F$3&gt;=in_SalesStart,in_SalSales*IF(F$3&gt;=in_SalesFullStart,1,in_SalesFTE)*(1+in_CAM)*(1+in_Raise)^(F$5-1),0)</f>
        <v>1022.5</v>
      </c>
      <c r="G10" s="40" t="n">
        <f aca="false">IF(G$3&gt;=in_SalesStart,in_SalSales*IF(G$3&gt;=in_SalesFullStart,1,in_SalesFTE)*(1+in_CAM)*(1+in_Raise)^(G$5-1),0)</f>
        <v>1022.5</v>
      </c>
      <c r="H10" s="40" t="n">
        <f aca="false">IF(H$3&gt;=in_SalesStart,in_SalSales*IF(H$3&gt;=in_SalesFullStart,1,in_SalesFTE)*(1+in_CAM)*(1+in_Raise)^(H$5-1),0)</f>
        <v>1022.5</v>
      </c>
      <c r="I10" s="40" t="n">
        <f aca="false">IF(I$3&gt;=in_SalesStart,in_SalSales*IF(I$3&gt;=in_SalesFullStart,1,in_SalesFTE)*(1+in_CAM)*(1+in_Raise)^(I$5-1),0)</f>
        <v>1022.5</v>
      </c>
      <c r="J10" s="40" t="n">
        <f aca="false">IF(J$3&gt;=in_SalesStart,in_SalSales*IF(J$3&gt;=in_SalesFullStart,1,in_SalesFTE)*(1+in_CAM)*(1+in_Raise)^(J$5-1),0)</f>
        <v>1022.5</v>
      </c>
      <c r="K10" s="40" t="n">
        <f aca="false">IF(K$3&gt;=in_SalesStart,in_SalSales*IF(K$3&gt;=in_SalesFullStart,1,in_SalesFTE)*(1+in_CAM)*(1+in_Raise)^(K$5-1),0)</f>
        <v>1022.5</v>
      </c>
      <c r="L10" s="40" t="n">
        <f aca="false">IF(L$3&gt;=in_SalesStart,in_SalSales*IF(L$3&gt;=in_SalesFullStart,1,in_SalesFTE)*(1+in_CAM)*(1+in_Raise)^(L$5-1),0)</f>
        <v>1022.5</v>
      </c>
      <c r="M10" s="40" t="n">
        <f aca="false">IF(M$3&gt;=in_SalesStart,in_SalSales*IF(M$3&gt;=in_SalesFullStart,1,in_SalesFTE)*(1+in_CAM)*(1+in_Raise)^(M$5-1),0)</f>
        <v>1022.5</v>
      </c>
      <c r="N10" s="40" t="n">
        <f aca="false">IF(N$3&gt;=in_SalesStart,in_SalSales*IF(N$3&gt;=in_SalesFullStart,1,in_SalesFTE)*(1+in_CAM)*(1+in_Raise)^(N$5-1),0)</f>
        <v>1022.5</v>
      </c>
      <c r="O10" s="40" t="n">
        <f aca="false">IF(O$3&gt;=in_SalesStart,in_SalSales*IF(O$3&gt;=in_SalesFullStart,1,in_SalesFTE)*(1+in_CAM)*(1+in_Raise)^(O$5-1),0)</f>
        <v>2147.25</v>
      </c>
      <c r="P10" s="40" t="n">
        <f aca="false">IF(P$3&gt;=in_SalesStart,in_SalSales*IF(P$3&gt;=in_SalesFullStart,1,in_SalesFTE)*(1+in_CAM)*(1+in_Raise)^(P$5-1),0)</f>
        <v>2147.25</v>
      </c>
      <c r="Q10" s="40" t="n">
        <f aca="false">IF(Q$3&gt;=in_SalesStart,in_SalSales*IF(Q$3&gt;=in_SalesFullStart,1,in_SalesFTE)*(1+in_CAM)*(1+in_Raise)^(Q$5-1),0)</f>
        <v>2147.25</v>
      </c>
      <c r="R10" s="40" t="n">
        <f aca="false">IF(R$3&gt;=in_SalesStart,in_SalSales*IF(R$3&gt;=in_SalesFullStart,1,in_SalesFTE)*(1+in_CAM)*(1+in_Raise)^(R$5-1),0)</f>
        <v>2147.25</v>
      </c>
      <c r="S10" s="40" t="n">
        <f aca="false">IF(S$3&gt;=in_SalesStart,in_SalSales*IF(S$3&gt;=in_SalesFullStart,1,in_SalesFTE)*(1+in_CAM)*(1+in_Raise)^(S$5-1),0)</f>
        <v>2147.25</v>
      </c>
      <c r="T10" s="40" t="n">
        <f aca="false">IF(T$3&gt;=in_SalesStart,in_SalSales*IF(T$3&gt;=in_SalesFullStart,1,in_SalesFTE)*(1+in_CAM)*(1+in_Raise)^(T$5-1),0)</f>
        <v>2147.25</v>
      </c>
      <c r="U10" s="40" t="n">
        <f aca="false">IF(U$3&gt;=in_SalesStart,in_SalSales*IF(U$3&gt;=in_SalesFullStart,1,in_SalesFTE)*(1+in_CAM)*(1+in_Raise)^(U$5-1),0)</f>
        <v>2147.25</v>
      </c>
      <c r="V10" s="40" t="n">
        <f aca="false">IF(V$3&gt;=in_SalesStart,in_SalSales*IF(V$3&gt;=in_SalesFullStart,1,in_SalesFTE)*(1+in_CAM)*(1+in_Raise)^(V$5-1),0)</f>
        <v>2147.25</v>
      </c>
      <c r="W10" s="40" t="n">
        <f aca="false">IF(W$3&gt;=in_SalesStart,in_SalSales*IF(W$3&gt;=in_SalesFullStart,1,in_SalesFTE)*(1+in_CAM)*(1+in_Raise)^(W$5-1),0)</f>
        <v>2147.25</v>
      </c>
      <c r="X10" s="40" t="n">
        <f aca="false">IF(X$3&gt;=in_SalesStart,in_SalSales*IF(X$3&gt;=in_SalesFullStart,1,in_SalesFTE)*(1+in_CAM)*(1+in_Raise)^(X$5-1),0)</f>
        <v>2147.25</v>
      </c>
      <c r="Y10" s="40" t="n">
        <f aca="false">IF(Y$3&gt;=in_SalesStart,in_SalSales*IF(Y$3&gt;=in_SalesFullStart,1,in_SalesFTE)*(1+in_CAM)*(1+in_Raise)^(Y$5-1),0)</f>
        <v>2147.25</v>
      </c>
      <c r="Z10" s="40" t="n">
        <f aca="false">IF(Z$3&gt;=in_SalesStart,in_SalSales*IF(Z$3&gt;=in_SalesFullStart,1,in_SalesFTE)*(1+in_CAM)*(1+in_Raise)^(Z$5-1),0)</f>
        <v>2147.25</v>
      </c>
      <c r="AA10" s="40" t="n">
        <f aca="false">IF(AA$3&gt;=in_SalesStart,in_SalSales*IF(AA$3&gt;=in_SalesFullStart,1,in_SalesFTE)*(1+in_CAM)*(1+in_Raise)^(AA$5-1),0)</f>
        <v>2254.6125</v>
      </c>
      <c r="AB10" s="40" t="n">
        <f aca="false">IF(AB$3&gt;=in_SalesStart,in_SalSales*IF(AB$3&gt;=in_SalesFullStart,1,in_SalesFTE)*(1+in_CAM)*(1+in_Raise)^(AB$5-1),0)</f>
        <v>2254.6125</v>
      </c>
      <c r="AC10" s="40" t="n">
        <f aca="false">IF(AC$3&gt;=in_SalesStart,in_SalSales*IF(AC$3&gt;=in_SalesFullStart,1,in_SalesFTE)*(1+in_CAM)*(1+in_Raise)^(AC$5-1),0)</f>
        <v>2254.6125</v>
      </c>
      <c r="AD10" s="40" t="n">
        <f aca="false">IF(AD$3&gt;=in_SalesStart,in_SalSales*IF(AD$3&gt;=in_SalesFullStart,1,in_SalesFTE)*(1+in_CAM)*(1+in_Raise)^(AD$5-1),0)</f>
        <v>2254.6125</v>
      </c>
      <c r="AE10" s="40" t="n">
        <f aca="false">IF(AE$3&gt;=in_SalesStart,in_SalSales*IF(AE$3&gt;=in_SalesFullStart,1,in_SalesFTE)*(1+in_CAM)*(1+in_Raise)^(AE$5-1),0)</f>
        <v>2254.6125</v>
      </c>
      <c r="AF10" s="40" t="n">
        <f aca="false">IF(AF$3&gt;=in_SalesStart,in_SalSales*IF(AF$3&gt;=in_SalesFullStart,1,in_SalesFTE)*(1+in_CAM)*(1+in_Raise)^(AF$5-1),0)</f>
        <v>2254.6125</v>
      </c>
      <c r="AG10" s="40" t="n">
        <f aca="false">IF(AG$3&gt;=in_SalesStart,in_SalSales*IF(AG$3&gt;=in_SalesFullStart,1,in_SalesFTE)*(1+in_CAM)*(1+in_Raise)^(AG$5-1),0)</f>
        <v>2254.6125</v>
      </c>
      <c r="AH10" s="40" t="n">
        <f aca="false">IF(AH$3&gt;=in_SalesStart,in_SalSales*IF(AH$3&gt;=in_SalesFullStart,1,in_SalesFTE)*(1+in_CAM)*(1+in_Raise)^(AH$5-1),0)</f>
        <v>2254.6125</v>
      </c>
      <c r="AI10" s="40" t="n">
        <f aca="false">IF(AI$3&gt;=in_SalesStart,in_SalSales*IF(AI$3&gt;=in_SalesFullStart,1,in_SalesFTE)*(1+in_CAM)*(1+in_Raise)^(AI$5-1),0)</f>
        <v>2254.6125</v>
      </c>
      <c r="AJ10" s="40" t="n">
        <f aca="false">IF(AJ$3&gt;=in_SalesStart,in_SalSales*IF(AJ$3&gt;=in_SalesFullStart,1,in_SalesFTE)*(1+in_CAM)*(1+in_Raise)^(AJ$5-1),0)</f>
        <v>2254.6125</v>
      </c>
      <c r="AK10" s="40" t="n">
        <f aca="false">IF(AK$3&gt;=in_SalesStart,in_SalSales*IF(AK$3&gt;=in_SalesFullStart,1,in_SalesFTE)*(1+in_CAM)*(1+in_Raise)^(AK$5-1),0)</f>
        <v>2254.6125</v>
      </c>
      <c r="AL10" s="40" t="n">
        <f aca="false">IF(AL$3&gt;=in_SalesStart,in_SalSales*IF(AL$3&gt;=in_SalesFullStart,1,in_SalesFTE)*(1+in_CAM)*(1+in_Raise)^(AL$5-1),0)</f>
        <v>2254.6125</v>
      </c>
    </row>
    <row r="11" customFormat="false" ht="15" hidden="false" customHeight="false" outlineLevel="0" collapsed="false">
      <c r="A11" s="1" t="s">
        <v>252</v>
      </c>
      <c r="B11" s="13" t="s">
        <v>62</v>
      </c>
      <c r="C11" s="40" t="n">
        <f aca="false">IF(C$3&gt;=in_SupportStart,in_SalSupport*IF(C$3&gt;=in_SupportFullStart,1,in_SupportFTE)*(1+in_CAM)*(1+in_Raise)^(C$5-1),0)</f>
        <v>0</v>
      </c>
      <c r="D11" s="40" t="n">
        <f aca="false">IF(D$3&gt;=in_SupportStart,in_SalSupport*IF(D$3&gt;=in_SupportFullStart,1,in_SupportFTE)*(1+in_CAM)*(1+in_Raise)^(D$5-1),0)</f>
        <v>0</v>
      </c>
      <c r="E11" s="40" t="n">
        <f aca="false">IF(E$3&gt;=in_SupportStart,in_SalSupport*IF(E$3&gt;=in_SupportFullStart,1,in_SupportFTE)*(1+in_CAM)*(1+in_Raise)^(E$5-1),0)</f>
        <v>0</v>
      </c>
      <c r="F11" s="40" t="n">
        <f aca="false">IF(F$3&gt;=in_SupportStart,in_SalSupport*IF(F$3&gt;=in_SupportFullStart,1,in_SupportFTE)*(1+in_CAM)*(1+in_Raise)^(F$5-1),0)</f>
        <v>0</v>
      </c>
      <c r="G11" s="40" t="n">
        <f aca="false">IF(G$3&gt;=in_SupportStart,in_SalSupport*IF(G$3&gt;=in_SupportFullStart,1,in_SupportFTE)*(1+in_CAM)*(1+in_Raise)^(G$5-1),0)</f>
        <v>0</v>
      </c>
      <c r="H11" s="40" t="n">
        <f aca="false">IF(H$3&gt;=in_SupportStart,in_SalSupport*IF(H$3&gt;=in_SupportFullStart,1,in_SupportFTE)*(1+in_CAM)*(1+in_Raise)^(H$5-1),0)</f>
        <v>0</v>
      </c>
      <c r="I11" s="40" t="n">
        <f aca="false">IF(I$3&gt;=in_SupportStart,in_SalSupport*IF(I$3&gt;=in_SupportFullStart,1,in_SupportFTE)*(1+in_CAM)*(1+in_Raise)^(I$5-1),0)</f>
        <v>715.75</v>
      </c>
      <c r="J11" s="40" t="n">
        <f aca="false">IF(J$3&gt;=in_SupportStart,in_SalSupport*IF(J$3&gt;=in_SupportFullStart,1,in_SupportFTE)*(1+in_CAM)*(1+in_Raise)^(J$5-1),0)</f>
        <v>715.75</v>
      </c>
      <c r="K11" s="40" t="n">
        <f aca="false">IF(K$3&gt;=in_SupportStart,in_SalSupport*IF(K$3&gt;=in_SupportFullStart,1,in_SupportFTE)*(1+in_CAM)*(1+in_Raise)^(K$5-1),0)</f>
        <v>715.75</v>
      </c>
      <c r="L11" s="40" t="n">
        <f aca="false">IF(L$3&gt;=in_SupportStart,in_SalSupport*IF(L$3&gt;=in_SupportFullStart,1,in_SupportFTE)*(1+in_CAM)*(1+in_Raise)^(L$5-1),0)</f>
        <v>715.75</v>
      </c>
      <c r="M11" s="40" t="n">
        <f aca="false">IF(M$3&gt;=in_SupportStart,in_SalSupport*IF(M$3&gt;=in_SupportFullStart,1,in_SupportFTE)*(1+in_CAM)*(1+in_Raise)^(M$5-1),0)</f>
        <v>715.75</v>
      </c>
      <c r="N11" s="40" t="n">
        <f aca="false">IF(N$3&gt;=in_SupportStart,in_SalSupport*IF(N$3&gt;=in_SupportFullStart,1,in_SupportFTE)*(1+in_CAM)*(1+in_Raise)^(N$5-1),0)</f>
        <v>715.75</v>
      </c>
      <c r="O11" s="40" t="n">
        <f aca="false">IF(O$3&gt;=in_SupportStart,in_SalSupport*IF(O$3&gt;=in_SupportFullStart,1,in_SupportFTE)*(1+in_CAM)*(1+in_Raise)^(O$5-1),0)</f>
        <v>751.5375</v>
      </c>
      <c r="P11" s="40" t="n">
        <f aca="false">IF(P$3&gt;=in_SupportStart,in_SalSupport*IF(P$3&gt;=in_SupportFullStart,1,in_SupportFTE)*(1+in_CAM)*(1+in_Raise)^(P$5-1),0)</f>
        <v>751.5375</v>
      </c>
      <c r="Q11" s="40" t="n">
        <f aca="false">IF(Q$3&gt;=in_SupportStart,in_SalSupport*IF(Q$3&gt;=in_SupportFullStart,1,in_SupportFTE)*(1+in_CAM)*(1+in_Raise)^(Q$5-1),0)</f>
        <v>751.5375</v>
      </c>
      <c r="R11" s="40" t="n">
        <f aca="false">IF(R$3&gt;=in_SupportStart,in_SalSupport*IF(R$3&gt;=in_SupportFullStart,1,in_SupportFTE)*(1+in_CAM)*(1+in_Raise)^(R$5-1),0)</f>
        <v>751.5375</v>
      </c>
      <c r="S11" s="40" t="n">
        <f aca="false">IF(S$3&gt;=in_SupportStart,in_SalSupport*IF(S$3&gt;=in_SupportFullStart,1,in_SupportFTE)*(1+in_CAM)*(1+in_Raise)^(S$5-1),0)</f>
        <v>751.5375</v>
      </c>
      <c r="T11" s="40" t="n">
        <f aca="false">IF(T$3&gt;=in_SupportStart,in_SalSupport*IF(T$3&gt;=in_SupportFullStart,1,in_SupportFTE)*(1+in_CAM)*(1+in_Raise)^(T$5-1),0)</f>
        <v>751.5375</v>
      </c>
      <c r="U11" s="40" t="n">
        <f aca="false">IF(U$3&gt;=in_SupportStart,in_SalSupport*IF(U$3&gt;=in_SupportFullStart,1,in_SupportFTE)*(1+in_CAM)*(1+in_Raise)^(U$5-1),0)</f>
        <v>751.5375</v>
      </c>
      <c r="V11" s="40" t="n">
        <f aca="false">IF(V$3&gt;=in_SupportStart,in_SalSupport*IF(V$3&gt;=in_SupportFullStart,1,in_SupportFTE)*(1+in_CAM)*(1+in_Raise)^(V$5-1),0)</f>
        <v>751.5375</v>
      </c>
      <c r="W11" s="40" t="n">
        <f aca="false">IF(W$3&gt;=in_SupportStart,in_SalSupport*IF(W$3&gt;=in_SupportFullStart,1,in_SupportFTE)*(1+in_CAM)*(1+in_Raise)^(W$5-1),0)</f>
        <v>751.5375</v>
      </c>
      <c r="X11" s="40" t="n">
        <f aca="false">IF(X$3&gt;=in_SupportStart,in_SalSupport*IF(X$3&gt;=in_SupportFullStart,1,in_SupportFTE)*(1+in_CAM)*(1+in_Raise)^(X$5-1),0)</f>
        <v>751.5375</v>
      </c>
      <c r="Y11" s="40" t="n">
        <f aca="false">IF(Y$3&gt;=in_SupportStart,in_SalSupport*IF(Y$3&gt;=in_SupportFullStart,1,in_SupportFTE)*(1+in_CAM)*(1+in_Raise)^(Y$5-1),0)</f>
        <v>751.5375</v>
      </c>
      <c r="Z11" s="40" t="n">
        <f aca="false">IF(Z$3&gt;=in_SupportStart,in_SalSupport*IF(Z$3&gt;=in_SupportFullStart,1,in_SupportFTE)*(1+in_CAM)*(1+in_Raise)^(Z$5-1),0)</f>
        <v>751.5375</v>
      </c>
      <c r="AA11" s="40" t="n">
        <f aca="false">IF(AA$3&gt;=in_SupportStart,in_SalSupport*IF(AA$3&gt;=in_SupportFullStart,1,in_SupportFTE)*(1+in_CAM)*(1+in_Raise)^(AA$5-1),0)</f>
        <v>1578.22875</v>
      </c>
      <c r="AB11" s="40" t="n">
        <f aca="false">IF(AB$3&gt;=in_SupportStart,in_SalSupport*IF(AB$3&gt;=in_SupportFullStart,1,in_SupportFTE)*(1+in_CAM)*(1+in_Raise)^(AB$5-1),0)</f>
        <v>1578.22875</v>
      </c>
      <c r="AC11" s="40" t="n">
        <f aca="false">IF(AC$3&gt;=in_SupportStart,in_SalSupport*IF(AC$3&gt;=in_SupportFullStart,1,in_SupportFTE)*(1+in_CAM)*(1+in_Raise)^(AC$5-1),0)</f>
        <v>1578.22875</v>
      </c>
      <c r="AD11" s="40" t="n">
        <f aca="false">IF(AD$3&gt;=in_SupportStart,in_SalSupport*IF(AD$3&gt;=in_SupportFullStart,1,in_SupportFTE)*(1+in_CAM)*(1+in_Raise)^(AD$5-1),0)</f>
        <v>1578.22875</v>
      </c>
      <c r="AE11" s="40" t="n">
        <f aca="false">IF(AE$3&gt;=in_SupportStart,in_SalSupport*IF(AE$3&gt;=in_SupportFullStart,1,in_SupportFTE)*(1+in_CAM)*(1+in_Raise)^(AE$5-1),0)</f>
        <v>1578.22875</v>
      </c>
      <c r="AF11" s="40" t="n">
        <f aca="false">IF(AF$3&gt;=in_SupportStart,in_SalSupport*IF(AF$3&gt;=in_SupportFullStart,1,in_SupportFTE)*(1+in_CAM)*(1+in_Raise)^(AF$5-1),0)</f>
        <v>1578.22875</v>
      </c>
      <c r="AG11" s="40" t="n">
        <f aca="false">IF(AG$3&gt;=in_SupportStart,in_SalSupport*IF(AG$3&gt;=in_SupportFullStart,1,in_SupportFTE)*(1+in_CAM)*(1+in_Raise)^(AG$5-1),0)</f>
        <v>1578.22875</v>
      </c>
      <c r="AH11" s="40" t="n">
        <f aca="false">IF(AH$3&gt;=in_SupportStart,in_SalSupport*IF(AH$3&gt;=in_SupportFullStart,1,in_SupportFTE)*(1+in_CAM)*(1+in_Raise)^(AH$5-1),0)</f>
        <v>1578.22875</v>
      </c>
      <c r="AI11" s="40" t="n">
        <f aca="false">IF(AI$3&gt;=in_SupportStart,in_SalSupport*IF(AI$3&gt;=in_SupportFullStart,1,in_SupportFTE)*(1+in_CAM)*(1+in_Raise)^(AI$5-1),0)</f>
        <v>1578.22875</v>
      </c>
      <c r="AJ11" s="40" t="n">
        <f aca="false">IF(AJ$3&gt;=in_SupportStart,in_SalSupport*IF(AJ$3&gt;=in_SupportFullStart,1,in_SupportFTE)*(1+in_CAM)*(1+in_Raise)^(AJ$5-1),0)</f>
        <v>1578.22875</v>
      </c>
      <c r="AK11" s="40" t="n">
        <f aca="false">IF(AK$3&gt;=in_SupportStart,in_SalSupport*IF(AK$3&gt;=in_SupportFullStart,1,in_SupportFTE)*(1+in_CAM)*(1+in_Raise)^(AK$5-1),0)</f>
        <v>1578.22875</v>
      </c>
      <c r="AL11" s="40" t="n">
        <f aca="false">IF(AL$3&gt;=in_SupportStart,in_SalSupport*IF(AL$3&gt;=in_SupportFullStart,1,in_SupportFTE)*(1+in_CAM)*(1+in_Raise)^(AL$5-1),0)</f>
        <v>1578.22875</v>
      </c>
    </row>
    <row r="12" customFormat="false" ht="15" hidden="false" customHeight="false" outlineLevel="0" collapsed="false">
      <c r="A12" s="1" t="s">
        <v>253</v>
      </c>
      <c r="B12" s="13" t="s">
        <v>62</v>
      </c>
      <c r="C12" s="40" t="n">
        <f aca="false">IF(C$3&gt;=in_DevStart,in_SalDev*(1+in_CAM)*(1+in_Raise)^(C$5-1),0)</f>
        <v>0</v>
      </c>
      <c r="D12" s="40" t="n">
        <f aca="false">IF(D$3&gt;=in_DevStart,in_SalDev*(1+in_CAM)*(1+in_Raise)^(D$5-1),0)</f>
        <v>0</v>
      </c>
      <c r="E12" s="40" t="n">
        <f aca="false">IF(E$3&gt;=in_DevStart,in_SalDev*(1+in_CAM)*(1+in_Raise)^(E$5-1),0)</f>
        <v>0</v>
      </c>
      <c r="F12" s="40" t="n">
        <f aca="false">IF(F$3&gt;=in_DevStart,in_SalDev*(1+in_CAM)*(1+in_Raise)^(F$5-1),0)</f>
        <v>0</v>
      </c>
      <c r="G12" s="40" t="n">
        <f aca="false">IF(G$3&gt;=in_DevStart,in_SalDev*(1+in_CAM)*(1+in_Raise)^(G$5-1),0)</f>
        <v>0</v>
      </c>
      <c r="H12" s="40" t="n">
        <f aca="false">IF(H$3&gt;=in_DevStart,in_SalDev*(1+in_CAM)*(1+in_Raise)^(H$5-1),0)</f>
        <v>0</v>
      </c>
      <c r="I12" s="40" t="n">
        <f aca="false">IF(I$3&gt;=in_DevStart,in_SalDev*(1+in_CAM)*(1+in_Raise)^(I$5-1),0)</f>
        <v>0</v>
      </c>
      <c r="J12" s="40" t="n">
        <f aca="false">IF(J$3&gt;=in_DevStart,in_SalDev*(1+in_CAM)*(1+in_Raise)^(J$5-1),0)</f>
        <v>0</v>
      </c>
      <c r="K12" s="40" t="n">
        <f aca="false">IF(K$3&gt;=in_DevStart,in_SalDev*(1+in_CAM)*(1+in_Raise)^(K$5-1),0)</f>
        <v>0</v>
      </c>
      <c r="L12" s="40" t="n">
        <f aca="false">IF(L$3&gt;=in_DevStart,in_SalDev*(1+in_CAM)*(1+in_Raise)^(L$5-1),0)</f>
        <v>0</v>
      </c>
      <c r="M12" s="40" t="n">
        <f aca="false">IF(M$3&gt;=in_DevStart,in_SalDev*(1+in_CAM)*(1+in_Raise)^(M$5-1),0)</f>
        <v>0</v>
      </c>
      <c r="N12" s="40" t="n">
        <f aca="false">IF(N$3&gt;=in_DevStart,in_SalDev*(1+in_CAM)*(1+in_Raise)^(N$5-1),0)</f>
        <v>0</v>
      </c>
      <c r="O12" s="40" t="n">
        <f aca="false">IF(O$3&gt;=in_DevStart,in_SalDev*(1+in_CAM)*(1+in_Raise)^(O$5-1),0)</f>
        <v>0</v>
      </c>
      <c r="P12" s="40" t="n">
        <f aca="false">IF(P$3&gt;=in_DevStart,in_SalDev*(1+in_CAM)*(1+in_Raise)^(P$5-1),0)</f>
        <v>0</v>
      </c>
      <c r="Q12" s="40" t="n">
        <f aca="false">IF(Q$3&gt;=in_DevStart,in_SalDev*(1+in_CAM)*(1+in_Raise)^(Q$5-1),0)</f>
        <v>0</v>
      </c>
      <c r="R12" s="40" t="n">
        <f aca="false">IF(R$3&gt;=in_DevStart,in_SalDev*(1+in_CAM)*(1+in_Raise)^(R$5-1),0)</f>
        <v>0</v>
      </c>
      <c r="S12" s="40" t="n">
        <f aca="false">IF(S$3&gt;=in_DevStart,in_SalDev*(1+in_CAM)*(1+in_Raise)^(S$5-1),0)</f>
        <v>0</v>
      </c>
      <c r="T12" s="40" t="n">
        <f aca="false">IF(T$3&gt;=in_DevStart,in_SalDev*(1+in_CAM)*(1+in_Raise)^(T$5-1),0)</f>
        <v>0</v>
      </c>
      <c r="U12" s="40" t="n">
        <f aca="false">IF(U$3&gt;=in_DevStart,in_SalDev*(1+in_CAM)*(1+in_Raise)^(U$5-1),0)</f>
        <v>0</v>
      </c>
      <c r="V12" s="40" t="n">
        <f aca="false">IF(V$3&gt;=in_DevStart,in_SalDev*(1+in_CAM)*(1+in_Raise)^(V$5-1),0)</f>
        <v>0</v>
      </c>
      <c r="W12" s="40" t="n">
        <f aca="false">IF(W$3&gt;=in_DevStart,in_SalDev*(1+in_CAM)*(1+in_Raise)^(W$5-1),0)</f>
        <v>0</v>
      </c>
      <c r="X12" s="40" t="n">
        <f aca="false">IF(X$3&gt;=in_DevStart,in_SalDev*(1+in_CAM)*(1+in_Raise)^(X$5-1),0)</f>
        <v>0</v>
      </c>
      <c r="Y12" s="40" t="n">
        <f aca="false">IF(Y$3&gt;=in_DevStart,in_SalDev*(1+in_CAM)*(1+in_Raise)^(Y$5-1),0)</f>
        <v>0</v>
      </c>
      <c r="Z12" s="40" t="n">
        <f aca="false">IF(Z$3&gt;=in_DevStart,in_SalDev*(1+in_CAM)*(1+in_Raise)^(Z$5-1),0)</f>
        <v>0</v>
      </c>
      <c r="AA12" s="40" t="n">
        <f aca="false">IF(AA$3&gt;=in_DevStart,in_SalDev*(1+in_CAM)*(1+in_Raise)^(AA$5-1),0)</f>
        <v>2818.265625</v>
      </c>
      <c r="AB12" s="40" t="n">
        <f aca="false">IF(AB$3&gt;=in_DevStart,in_SalDev*(1+in_CAM)*(1+in_Raise)^(AB$5-1),0)</f>
        <v>2818.265625</v>
      </c>
      <c r="AC12" s="40" t="n">
        <f aca="false">IF(AC$3&gt;=in_DevStart,in_SalDev*(1+in_CAM)*(1+in_Raise)^(AC$5-1),0)</f>
        <v>2818.265625</v>
      </c>
      <c r="AD12" s="40" t="n">
        <f aca="false">IF(AD$3&gt;=in_DevStart,in_SalDev*(1+in_CAM)*(1+in_Raise)^(AD$5-1),0)</f>
        <v>2818.265625</v>
      </c>
      <c r="AE12" s="40" t="n">
        <f aca="false">IF(AE$3&gt;=in_DevStart,in_SalDev*(1+in_CAM)*(1+in_Raise)^(AE$5-1),0)</f>
        <v>2818.265625</v>
      </c>
      <c r="AF12" s="40" t="n">
        <f aca="false">IF(AF$3&gt;=in_DevStart,in_SalDev*(1+in_CAM)*(1+in_Raise)^(AF$5-1),0)</f>
        <v>2818.265625</v>
      </c>
      <c r="AG12" s="40" t="n">
        <f aca="false">IF(AG$3&gt;=in_DevStart,in_SalDev*(1+in_CAM)*(1+in_Raise)^(AG$5-1),0)</f>
        <v>2818.265625</v>
      </c>
      <c r="AH12" s="40" t="n">
        <f aca="false">IF(AH$3&gt;=in_DevStart,in_SalDev*(1+in_CAM)*(1+in_Raise)^(AH$5-1),0)</f>
        <v>2818.265625</v>
      </c>
      <c r="AI12" s="40" t="n">
        <f aca="false">IF(AI$3&gt;=in_DevStart,in_SalDev*(1+in_CAM)*(1+in_Raise)^(AI$5-1),0)</f>
        <v>2818.265625</v>
      </c>
      <c r="AJ12" s="40" t="n">
        <f aca="false">IF(AJ$3&gt;=in_DevStart,in_SalDev*(1+in_CAM)*(1+in_Raise)^(AJ$5-1),0)</f>
        <v>2818.265625</v>
      </c>
      <c r="AK12" s="40" t="n">
        <f aca="false">IF(AK$3&gt;=in_DevStart,in_SalDev*(1+in_CAM)*(1+in_Raise)^(AK$5-1),0)</f>
        <v>2818.265625</v>
      </c>
      <c r="AL12" s="40" t="n">
        <f aca="false">IF(AL$3&gt;=in_DevStart,in_SalDev*(1+in_CAM)*(1+in_Raise)^(AL$5-1),0)</f>
        <v>2818.265625</v>
      </c>
    </row>
    <row r="13" customFormat="false" ht="15" hidden="false" customHeight="false" outlineLevel="0" collapsed="false">
      <c r="A13" s="3" t="s">
        <v>254</v>
      </c>
      <c r="B13" s="13" t="s">
        <v>62</v>
      </c>
      <c r="C13" s="41" t="n">
        <f aca="false">SUM(C8:C12)</f>
        <v>2045</v>
      </c>
      <c r="D13" s="41" t="n">
        <f aca="false">SUM(D8:D12)</f>
        <v>2045</v>
      </c>
      <c r="E13" s="41" t="n">
        <f aca="false">SUM(E8:E12)</f>
        <v>3067.5</v>
      </c>
      <c r="F13" s="41" t="n">
        <f aca="false">SUM(F8:F12)</f>
        <v>3067.5</v>
      </c>
      <c r="G13" s="41" t="n">
        <f aca="false">SUM(G8:G12)</f>
        <v>3067.5</v>
      </c>
      <c r="H13" s="41" t="n">
        <f aca="false">SUM(H8:H12)</f>
        <v>3067.5</v>
      </c>
      <c r="I13" s="41" t="n">
        <f aca="false">SUM(I8:I12)</f>
        <v>3783.25</v>
      </c>
      <c r="J13" s="41" t="n">
        <f aca="false">SUM(J8:J12)</f>
        <v>3783.25</v>
      </c>
      <c r="K13" s="41" t="n">
        <f aca="false">SUM(K8:K12)</f>
        <v>3783.25</v>
      </c>
      <c r="L13" s="41" t="n">
        <f aca="false">SUM(L8:L12)</f>
        <v>3783.25</v>
      </c>
      <c r="M13" s="41" t="n">
        <f aca="false">SUM(M8:M12)</f>
        <v>3783.25</v>
      </c>
      <c r="N13" s="41" t="n">
        <f aca="false">SUM(N8:N12)</f>
        <v>3783.25</v>
      </c>
      <c r="O13" s="41" t="n">
        <f aca="false">SUM(O8:O12)</f>
        <v>5046.0375</v>
      </c>
      <c r="P13" s="41" t="n">
        <f aca="false">SUM(P8:P12)</f>
        <v>5046.0375</v>
      </c>
      <c r="Q13" s="41" t="n">
        <f aca="false">SUM(Q8:Q12)</f>
        <v>5046.0375</v>
      </c>
      <c r="R13" s="41" t="n">
        <f aca="false">SUM(R8:R12)</f>
        <v>5046.0375</v>
      </c>
      <c r="S13" s="41" t="n">
        <f aca="false">SUM(S8:S12)</f>
        <v>5046.0375</v>
      </c>
      <c r="T13" s="41" t="n">
        <f aca="false">SUM(T8:T12)</f>
        <v>5046.0375</v>
      </c>
      <c r="U13" s="41" t="n">
        <f aca="false">SUM(U8:U12)</f>
        <v>5046.0375</v>
      </c>
      <c r="V13" s="41" t="n">
        <f aca="false">SUM(V8:V12)</f>
        <v>5046.0375</v>
      </c>
      <c r="W13" s="41" t="n">
        <f aca="false">SUM(W8:W12)</f>
        <v>5046.0375</v>
      </c>
      <c r="X13" s="41" t="n">
        <f aca="false">SUM(X8:X12)</f>
        <v>5046.0375</v>
      </c>
      <c r="Y13" s="41" t="n">
        <f aca="false">SUM(Y8:Y12)</f>
        <v>5046.0375</v>
      </c>
      <c r="Z13" s="41" t="n">
        <f aca="false">SUM(Z8:Z12)</f>
        <v>5046.0375</v>
      </c>
      <c r="AA13" s="41" t="n">
        <f aca="false">SUM(AA8:AA12)</f>
        <v>8905.719375</v>
      </c>
      <c r="AB13" s="41" t="n">
        <f aca="false">SUM(AB8:AB12)</f>
        <v>8905.719375</v>
      </c>
      <c r="AC13" s="41" t="n">
        <f aca="false">SUM(AC8:AC12)</f>
        <v>8905.719375</v>
      </c>
      <c r="AD13" s="41" t="n">
        <f aca="false">SUM(AD8:AD12)</f>
        <v>8905.719375</v>
      </c>
      <c r="AE13" s="41" t="n">
        <f aca="false">SUM(AE8:AE12)</f>
        <v>8905.719375</v>
      </c>
      <c r="AF13" s="41" t="n">
        <f aca="false">SUM(AF8:AF12)</f>
        <v>8905.719375</v>
      </c>
      <c r="AG13" s="41" t="n">
        <f aca="false">SUM(AG8:AG12)</f>
        <v>8905.719375</v>
      </c>
      <c r="AH13" s="41" t="n">
        <f aca="false">SUM(AH8:AH12)</f>
        <v>8905.719375</v>
      </c>
      <c r="AI13" s="41" t="n">
        <f aca="false">SUM(AI8:AI12)</f>
        <v>8905.719375</v>
      </c>
      <c r="AJ13" s="41" t="n">
        <f aca="false">SUM(AJ8:AJ12)</f>
        <v>8905.719375</v>
      </c>
      <c r="AK13" s="41" t="n">
        <f aca="false">SUM(AK8:AK12)</f>
        <v>8905.719375</v>
      </c>
      <c r="AL13" s="41" t="n">
        <f aca="false">SUM(AL8:AL12)</f>
        <v>8905.719375</v>
      </c>
    </row>
    <row r="14" customFormat="false" ht="15" hidden="false" customHeight="false" outlineLevel="0" collapsed="false">
      <c r="A14" s="1" t="s">
        <v>255</v>
      </c>
      <c r="B14" s="13" t="s">
        <v>122</v>
      </c>
      <c r="C14" s="34" t="n">
        <f aca="false">2+IF(C$3&gt;=in_SalesStart,IF(C$3&gt;=in_SalesFullStart,1,in_SalesFTE),0)+IF(C$3&gt;=in_SupportStart,IF(C$3&gt;=in_SupportFullStart,1,in_SupportFTE),0)+IF(C$3&gt;=in_DevStart,1,0)</f>
        <v>2</v>
      </c>
      <c r="D14" s="34" t="n">
        <f aca="false">2+IF(D$3&gt;=in_SalesStart,IF(D$3&gt;=in_SalesFullStart,1,in_SalesFTE),0)+IF(D$3&gt;=in_SupportStart,IF(D$3&gt;=in_SupportFullStart,1,in_SupportFTE),0)+IF(D$3&gt;=in_DevStart,1,0)</f>
        <v>2</v>
      </c>
      <c r="E14" s="34" t="n">
        <f aca="false">2+IF(E$3&gt;=in_SalesStart,IF(E$3&gt;=in_SalesFullStart,1,in_SalesFTE),0)+IF(E$3&gt;=in_SupportStart,IF(E$3&gt;=in_SupportFullStart,1,in_SupportFTE),0)+IF(E$3&gt;=in_DevStart,1,0)</f>
        <v>2.5</v>
      </c>
      <c r="F14" s="34" t="n">
        <f aca="false">2+IF(F$3&gt;=in_SalesStart,IF(F$3&gt;=in_SalesFullStart,1,in_SalesFTE),0)+IF(F$3&gt;=in_SupportStart,IF(F$3&gt;=in_SupportFullStart,1,in_SupportFTE),0)+IF(F$3&gt;=in_DevStart,1,0)</f>
        <v>2.5</v>
      </c>
      <c r="G14" s="34" t="n">
        <f aca="false">2+IF(G$3&gt;=in_SalesStart,IF(G$3&gt;=in_SalesFullStart,1,in_SalesFTE),0)+IF(G$3&gt;=in_SupportStart,IF(G$3&gt;=in_SupportFullStart,1,in_SupportFTE),0)+IF(G$3&gt;=in_DevStart,1,0)</f>
        <v>2.5</v>
      </c>
      <c r="H14" s="34" t="n">
        <f aca="false">2+IF(H$3&gt;=in_SalesStart,IF(H$3&gt;=in_SalesFullStart,1,in_SalesFTE),0)+IF(H$3&gt;=in_SupportStart,IF(H$3&gt;=in_SupportFullStart,1,in_SupportFTE),0)+IF(H$3&gt;=in_DevStart,1,0)</f>
        <v>2.5</v>
      </c>
      <c r="I14" s="34" t="n">
        <f aca="false">2+IF(I$3&gt;=in_SalesStart,IF(I$3&gt;=in_SalesFullStart,1,in_SalesFTE),0)+IF(I$3&gt;=in_SupportStart,IF(I$3&gt;=in_SupportFullStart,1,in_SupportFTE),0)+IF(I$3&gt;=in_DevStart,1,0)</f>
        <v>3</v>
      </c>
      <c r="J14" s="34" t="n">
        <f aca="false">2+IF(J$3&gt;=in_SalesStart,IF(J$3&gt;=in_SalesFullStart,1,in_SalesFTE),0)+IF(J$3&gt;=in_SupportStart,IF(J$3&gt;=in_SupportFullStart,1,in_SupportFTE),0)+IF(J$3&gt;=in_DevStart,1,0)</f>
        <v>3</v>
      </c>
      <c r="K14" s="34" t="n">
        <f aca="false">2+IF(K$3&gt;=in_SalesStart,IF(K$3&gt;=in_SalesFullStart,1,in_SalesFTE),0)+IF(K$3&gt;=in_SupportStart,IF(K$3&gt;=in_SupportFullStart,1,in_SupportFTE),0)+IF(K$3&gt;=in_DevStart,1,0)</f>
        <v>3</v>
      </c>
      <c r="L14" s="34" t="n">
        <f aca="false">2+IF(L$3&gt;=in_SalesStart,IF(L$3&gt;=in_SalesFullStart,1,in_SalesFTE),0)+IF(L$3&gt;=in_SupportStart,IF(L$3&gt;=in_SupportFullStart,1,in_SupportFTE),0)+IF(L$3&gt;=in_DevStart,1,0)</f>
        <v>3</v>
      </c>
      <c r="M14" s="34" t="n">
        <f aca="false">2+IF(M$3&gt;=in_SalesStart,IF(M$3&gt;=in_SalesFullStart,1,in_SalesFTE),0)+IF(M$3&gt;=in_SupportStart,IF(M$3&gt;=in_SupportFullStart,1,in_SupportFTE),0)+IF(M$3&gt;=in_DevStart,1,0)</f>
        <v>3</v>
      </c>
      <c r="N14" s="34" t="n">
        <f aca="false">2+IF(N$3&gt;=in_SalesStart,IF(N$3&gt;=in_SalesFullStart,1,in_SalesFTE),0)+IF(N$3&gt;=in_SupportStart,IF(N$3&gt;=in_SupportFullStart,1,in_SupportFTE),0)+IF(N$3&gt;=in_DevStart,1,0)</f>
        <v>3</v>
      </c>
      <c r="O14" s="34" t="n">
        <f aca="false">2+IF(O$3&gt;=in_SalesStart,IF(O$3&gt;=in_SalesFullStart,1,in_SalesFTE),0)+IF(O$3&gt;=in_SupportStart,IF(O$3&gt;=in_SupportFullStart,1,in_SupportFTE),0)+IF(O$3&gt;=in_DevStart,1,0)</f>
        <v>3.5</v>
      </c>
      <c r="P14" s="34" t="n">
        <f aca="false">2+IF(P$3&gt;=in_SalesStart,IF(P$3&gt;=in_SalesFullStart,1,in_SalesFTE),0)+IF(P$3&gt;=in_SupportStart,IF(P$3&gt;=in_SupportFullStart,1,in_SupportFTE),0)+IF(P$3&gt;=in_DevStart,1,0)</f>
        <v>3.5</v>
      </c>
      <c r="Q14" s="34" t="n">
        <f aca="false">2+IF(Q$3&gt;=in_SalesStart,IF(Q$3&gt;=in_SalesFullStart,1,in_SalesFTE),0)+IF(Q$3&gt;=in_SupportStart,IF(Q$3&gt;=in_SupportFullStart,1,in_SupportFTE),0)+IF(Q$3&gt;=in_DevStart,1,0)</f>
        <v>3.5</v>
      </c>
      <c r="R14" s="34" t="n">
        <f aca="false">2+IF(R$3&gt;=in_SalesStart,IF(R$3&gt;=in_SalesFullStart,1,in_SalesFTE),0)+IF(R$3&gt;=in_SupportStart,IF(R$3&gt;=in_SupportFullStart,1,in_SupportFTE),0)+IF(R$3&gt;=in_DevStart,1,0)</f>
        <v>3.5</v>
      </c>
      <c r="S14" s="34" t="n">
        <f aca="false">2+IF(S$3&gt;=in_SalesStart,IF(S$3&gt;=in_SalesFullStart,1,in_SalesFTE),0)+IF(S$3&gt;=in_SupportStart,IF(S$3&gt;=in_SupportFullStart,1,in_SupportFTE),0)+IF(S$3&gt;=in_DevStart,1,0)</f>
        <v>3.5</v>
      </c>
      <c r="T14" s="34" t="n">
        <f aca="false">2+IF(T$3&gt;=in_SalesStart,IF(T$3&gt;=in_SalesFullStart,1,in_SalesFTE),0)+IF(T$3&gt;=in_SupportStart,IF(T$3&gt;=in_SupportFullStart,1,in_SupportFTE),0)+IF(T$3&gt;=in_DevStart,1,0)</f>
        <v>3.5</v>
      </c>
      <c r="U14" s="34" t="n">
        <f aca="false">2+IF(U$3&gt;=in_SalesStart,IF(U$3&gt;=in_SalesFullStart,1,in_SalesFTE),0)+IF(U$3&gt;=in_SupportStart,IF(U$3&gt;=in_SupportFullStart,1,in_SupportFTE),0)+IF(U$3&gt;=in_DevStart,1,0)</f>
        <v>3.5</v>
      </c>
      <c r="V14" s="34" t="n">
        <f aca="false">2+IF(V$3&gt;=in_SalesStart,IF(V$3&gt;=in_SalesFullStart,1,in_SalesFTE),0)+IF(V$3&gt;=in_SupportStart,IF(V$3&gt;=in_SupportFullStart,1,in_SupportFTE),0)+IF(V$3&gt;=in_DevStart,1,0)</f>
        <v>3.5</v>
      </c>
      <c r="W14" s="34" t="n">
        <f aca="false">2+IF(W$3&gt;=in_SalesStart,IF(W$3&gt;=in_SalesFullStart,1,in_SalesFTE),0)+IF(W$3&gt;=in_SupportStart,IF(W$3&gt;=in_SupportFullStart,1,in_SupportFTE),0)+IF(W$3&gt;=in_DevStart,1,0)</f>
        <v>3.5</v>
      </c>
      <c r="X14" s="34" t="n">
        <f aca="false">2+IF(X$3&gt;=in_SalesStart,IF(X$3&gt;=in_SalesFullStart,1,in_SalesFTE),0)+IF(X$3&gt;=in_SupportStart,IF(X$3&gt;=in_SupportFullStart,1,in_SupportFTE),0)+IF(X$3&gt;=in_DevStart,1,0)</f>
        <v>3.5</v>
      </c>
      <c r="Y14" s="34" t="n">
        <f aca="false">2+IF(Y$3&gt;=in_SalesStart,IF(Y$3&gt;=in_SalesFullStart,1,in_SalesFTE),0)+IF(Y$3&gt;=in_SupportStart,IF(Y$3&gt;=in_SupportFullStart,1,in_SupportFTE),0)+IF(Y$3&gt;=in_DevStart,1,0)</f>
        <v>3.5</v>
      </c>
      <c r="Z14" s="34" t="n">
        <f aca="false">2+IF(Z$3&gt;=in_SalesStart,IF(Z$3&gt;=in_SalesFullStart,1,in_SalesFTE),0)+IF(Z$3&gt;=in_SupportStart,IF(Z$3&gt;=in_SupportFullStart,1,in_SupportFTE),0)+IF(Z$3&gt;=in_DevStart,1,0)</f>
        <v>3.5</v>
      </c>
      <c r="AA14" s="34" t="n">
        <f aca="false">2+IF(AA$3&gt;=in_SalesStart,IF(AA$3&gt;=in_SalesFullStart,1,in_SalesFTE),0)+IF(AA$3&gt;=in_SupportStart,IF(AA$3&gt;=in_SupportFullStart,1,in_SupportFTE),0)+IF(AA$3&gt;=in_DevStart,1,0)</f>
        <v>5</v>
      </c>
      <c r="AB14" s="34" t="n">
        <f aca="false">2+IF(AB$3&gt;=in_SalesStart,IF(AB$3&gt;=in_SalesFullStart,1,in_SalesFTE),0)+IF(AB$3&gt;=in_SupportStart,IF(AB$3&gt;=in_SupportFullStart,1,in_SupportFTE),0)+IF(AB$3&gt;=in_DevStart,1,0)</f>
        <v>5</v>
      </c>
      <c r="AC14" s="34" t="n">
        <f aca="false">2+IF(AC$3&gt;=in_SalesStart,IF(AC$3&gt;=in_SalesFullStart,1,in_SalesFTE),0)+IF(AC$3&gt;=in_SupportStart,IF(AC$3&gt;=in_SupportFullStart,1,in_SupportFTE),0)+IF(AC$3&gt;=in_DevStart,1,0)</f>
        <v>5</v>
      </c>
      <c r="AD14" s="34" t="n">
        <f aca="false">2+IF(AD$3&gt;=in_SalesStart,IF(AD$3&gt;=in_SalesFullStart,1,in_SalesFTE),0)+IF(AD$3&gt;=in_SupportStart,IF(AD$3&gt;=in_SupportFullStart,1,in_SupportFTE),0)+IF(AD$3&gt;=in_DevStart,1,0)</f>
        <v>5</v>
      </c>
      <c r="AE14" s="34" t="n">
        <f aca="false">2+IF(AE$3&gt;=in_SalesStart,IF(AE$3&gt;=in_SalesFullStart,1,in_SalesFTE),0)+IF(AE$3&gt;=in_SupportStart,IF(AE$3&gt;=in_SupportFullStart,1,in_SupportFTE),0)+IF(AE$3&gt;=in_DevStart,1,0)</f>
        <v>5</v>
      </c>
      <c r="AF14" s="34" t="n">
        <f aca="false">2+IF(AF$3&gt;=in_SalesStart,IF(AF$3&gt;=in_SalesFullStart,1,in_SalesFTE),0)+IF(AF$3&gt;=in_SupportStart,IF(AF$3&gt;=in_SupportFullStart,1,in_SupportFTE),0)+IF(AF$3&gt;=in_DevStart,1,0)</f>
        <v>5</v>
      </c>
      <c r="AG14" s="34" t="n">
        <f aca="false">2+IF(AG$3&gt;=in_SalesStart,IF(AG$3&gt;=in_SalesFullStart,1,in_SalesFTE),0)+IF(AG$3&gt;=in_SupportStart,IF(AG$3&gt;=in_SupportFullStart,1,in_SupportFTE),0)+IF(AG$3&gt;=in_DevStart,1,0)</f>
        <v>5</v>
      </c>
      <c r="AH14" s="34" t="n">
        <f aca="false">2+IF(AH$3&gt;=in_SalesStart,IF(AH$3&gt;=in_SalesFullStart,1,in_SalesFTE),0)+IF(AH$3&gt;=in_SupportStart,IF(AH$3&gt;=in_SupportFullStart,1,in_SupportFTE),0)+IF(AH$3&gt;=in_DevStart,1,0)</f>
        <v>5</v>
      </c>
      <c r="AI14" s="34" t="n">
        <f aca="false">2+IF(AI$3&gt;=in_SalesStart,IF(AI$3&gt;=in_SalesFullStart,1,in_SalesFTE),0)+IF(AI$3&gt;=in_SupportStart,IF(AI$3&gt;=in_SupportFullStart,1,in_SupportFTE),0)+IF(AI$3&gt;=in_DevStart,1,0)</f>
        <v>5</v>
      </c>
      <c r="AJ14" s="34" t="n">
        <f aca="false">2+IF(AJ$3&gt;=in_SalesStart,IF(AJ$3&gt;=in_SalesFullStart,1,in_SalesFTE),0)+IF(AJ$3&gt;=in_SupportStart,IF(AJ$3&gt;=in_SupportFullStart,1,in_SupportFTE),0)+IF(AJ$3&gt;=in_DevStart,1,0)</f>
        <v>5</v>
      </c>
      <c r="AK14" s="34" t="n">
        <f aca="false">2+IF(AK$3&gt;=in_SalesStart,IF(AK$3&gt;=in_SalesFullStart,1,in_SalesFTE),0)+IF(AK$3&gt;=in_SupportStart,IF(AK$3&gt;=in_SupportFullStart,1,in_SupportFTE),0)+IF(AK$3&gt;=in_DevStart,1,0)</f>
        <v>5</v>
      </c>
      <c r="AL14" s="34" t="n">
        <f aca="false">2+IF(AL$3&gt;=in_SalesStart,IF(AL$3&gt;=in_SalesFullStart,1,in_SalesFTE),0)+IF(AL$3&gt;=in_SupportStart,IF(AL$3&gt;=in_SupportFullStart,1,in_SupportFTE),0)+IF(AL$3&gt;=in_DevStart,1,0)</f>
        <v>5</v>
      </c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customFormat="false" ht="15" hidden="false" customHeight="false" outlineLevel="0" collapsed="false">
      <c r="A16" s="15" t="s">
        <v>256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</row>
    <row r="17" customFormat="false" ht="15" hidden="false" customHeight="false" outlineLevel="0" collapsed="false">
      <c r="A17" s="1" t="s">
        <v>257</v>
      </c>
      <c r="B17" s="13" t="s">
        <v>62</v>
      </c>
      <c r="C17" s="40" t="n">
        <f aca="false">in_InfraFixed</f>
        <v>350</v>
      </c>
      <c r="D17" s="40" t="n">
        <f aca="false">in_InfraFixed</f>
        <v>350</v>
      </c>
      <c r="E17" s="40" t="n">
        <f aca="false">in_InfraFixed</f>
        <v>350</v>
      </c>
      <c r="F17" s="40" t="n">
        <f aca="false">in_InfraFixed</f>
        <v>350</v>
      </c>
      <c r="G17" s="40" t="n">
        <f aca="false">in_InfraFixed</f>
        <v>350</v>
      </c>
      <c r="H17" s="40" t="n">
        <f aca="false">in_InfraFixed</f>
        <v>350</v>
      </c>
      <c r="I17" s="40" t="n">
        <f aca="false">in_InfraFixed</f>
        <v>350</v>
      </c>
      <c r="J17" s="40" t="n">
        <f aca="false">in_InfraFixed</f>
        <v>350</v>
      </c>
      <c r="K17" s="40" t="n">
        <f aca="false">in_InfraFixed</f>
        <v>350</v>
      </c>
      <c r="L17" s="40" t="n">
        <f aca="false">in_InfraFixed</f>
        <v>350</v>
      </c>
      <c r="M17" s="40" t="n">
        <f aca="false">in_InfraFixed</f>
        <v>350</v>
      </c>
      <c r="N17" s="40" t="n">
        <f aca="false">in_InfraFixed</f>
        <v>350</v>
      </c>
      <c r="O17" s="40" t="n">
        <f aca="false">in_InfraFixed</f>
        <v>350</v>
      </c>
      <c r="P17" s="40" t="n">
        <f aca="false">in_InfraFixed</f>
        <v>350</v>
      </c>
      <c r="Q17" s="40" t="n">
        <f aca="false">in_InfraFixed</f>
        <v>350</v>
      </c>
      <c r="R17" s="40" t="n">
        <f aca="false">in_InfraFixed</f>
        <v>350</v>
      </c>
      <c r="S17" s="40" t="n">
        <f aca="false">in_InfraFixed</f>
        <v>350</v>
      </c>
      <c r="T17" s="40" t="n">
        <f aca="false">in_InfraFixed</f>
        <v>350</v>
      </c>
      <c r="U17" s="40" t="n">
        <f aca="false">in_InfraFixed</f>
        <v>350</v>
      </c>
      <c r="V17" s="40" t="n">
        <f aca="false">in_InfraFixed</f>
        <v>350</v>
      </c>
      <c r="W17" s="40" t="n">
        <f aca="false">in_InfraFixed</f>
        <v>350</v>
      </c>
      <c r="X17" s="40" t="n">
        <f aca="false">in_InfraFixed</f>
        <v>350</v>
      </c>
      <c r="Y17" s="40" t="n">
        <f aca="false">in_InfraFixed</f>
        <v>350</v>
      </c>
      <c r="Z17" s="40" t="n">
        <f aca="false">in_InfraFixed</f>
        <v>350</v>
      </c>
      <c r="AA17" s="40" t="n">
        <f aca="false">in_InfraFixed</f>
        <v>350</v>
      </c>
      <c r="AB17" s="40" t="n">
        <f aca="false">in_InfraFixed</f>
        <v>350</v>
      </c>
      <c r="AC17" s="40" t="n">
        <f aca="false">in_InfraFixed</f>
        <v>350</v>
      </c>
      <c r="AD17" s="40" t="n">
        <f aca="false">in_InfraFixed</f>
        <v>350</v>
      </c>
      <c r="AE17" s="40" t="n">
        <f aca="false">in_InfraFixed</f>
        <v>350</v>
      </c>
      <c r="AF17" s="40" t="n">
        <f aca="false">in_InfraFixed</f>
        <v>350</v>
      </c>
      <c r="AG17" s="40" t="n">
        <f aca="false">in_InfraFixed</f>
        <v>350</v>
      </c>
      <c r="AH17" s="40" t="n">
        <f aca="false">in_InfraFixed</f>
        <v>350</v>
      </c>
      <c r="AI17" s="40" t="n">
        <f aca="false">in_InfraFixed</f>
        <v>350</v>
      </c>
      <c r="AJ17" s="40" t="n">
        <f aca="false">in_InfraFixed</f>
        <v>350</v>
      </c>
      <c r="AK17" s="40" t="n">
        <f aca="false">in_InfraFixed</f>
        <v>350</v>
      </c>
      <c r="AL17" s="40" t="n">
        <f aca="false">in_InfraFixed</f>
        <v>350</v>
      </c>
    </row>
    <row r="18" customFormat="false" ht="15" hidden="false" customHeight="false" outlineLevel="0" collapsed="false">
      <c r="A18" s="1" t="s">
        <v>258</v>
      </c>
      <c r="B18" s="13" t="s">
        <v>62</v>
      </c>
      <c r="C18" s="6" t="n">
        <f aca="false">Revenue!C21*in_InfraVar</f>
        <v>0</v>
      </c>
      <c r="D18" s="6" t="n">
        <f aca="false">Revenue!D21*in_InfraVar</f>
        <v>5.71875</v>
      </c>
      <c r="E18" s="6" t="n">
        <f aca="false">Revenue!E21*in_InfraVar</f>
        <v>11.2659375</v>
      </c>
      <c r="F18" s="6" t="n">
        <f aca="false">Revenue!F21*in_InfraVar</f>
        <v>25.646709375</v>
      </c>
      <c r="G18" s="6" t="n">
        <f aca="false">Revenue!G21*in_InfraVar</f>
        <v>30.59605809375</v>
      </c>
      <c r="H18" s="6" t="n">
        <f aca="false">Revenue!H21*in_InfraVar</f>
        <v>36.4469263509375</v>
      </c>
      <c r="I18" s="6" t="n">
        <f aca="false">Revenue!I21*in_InfraVar</f>
        <v>42.2722685604094</v>
      </c>
      <c r="J18" s="6" t="n">
        <f aca="false">Revenue!J21*in_InfraVar</f>
        <v>48.0728505035971</v>
      </c>
      <c r="K18" s="6" t="n">
        <f aca="false">Revenue!K21*in_InfraVar</f>
        <v>53.8494149884892</v>
      </c>
      <c r="L18" s="6" t="n">
        <f aca="false">Revenue!L21*in_InfraVar</f>
        <v>59.6026825388345</v>
      </c>
      <c r="M18" s="6" t="n">
        <f aca="false">Revenue!M21*in_InfraVar</f>
        <v>65.3333520626695</v>
      </c>
      <c r="N18" s="6" t="n">
        <f aca="false">Revenue!N21*in_InfraVar</f>
        <v>71.0421015007894</v>
      </c>
      <c r="O18" s="6" t="n">
        <f aca="false">Revenue!O21*in_InfraVar</f>
        <v>76.7295884557657</v>
      </c>
      <c r="P18" s="6" t="n">
        <f aca="false">Revenue!P21*in_InfraVar</f>
        <v>88.2089508020927</v>
      </c>
      <c r="Q18" s="6" t="n">
        <f aca="false">Revenue!Q21*in_InfraVar</f>
        <v>99.79393227803</v>
      </c>
      <c r="R18" s="6" t="n">
        <f aca="false">Revenue!R21*in_InfraVar</f>
        <v>111.481364309689</v>
      </c>
      <c r="S18" s="6" t="n">
        <f aca="false">Revenue!S21*in_InfraVar</f>
        <v>123.268173380398</v>
      </c>
      <c r="T18" s="6" t="n">
        <f aca="false">Revenue!T21*in_InfraVar</f>
        <v>135.151378178986</v>
      </c>
      <c r="U18" s="6" t="n">
        <f aca="false">Revenue!U21*in_InfraVar</f>
        <v>147.128086833617</v>
      </c>
      <c r="V18" s="6" t="n">
        <f aca="false">Revenue!V21*in_InfraVar</f>
        <v>159.195494228608</v>
      </c>
      <c r="W18" s="6" t="n">
        <f aca="false">Revenue!W21*in_InfraVar</f>
        <v>171.35087940175</v>
      </c>
      <c r="X18" s="6" t="n">
        <f aca="false">Revenue!X21*in_InfraVar</f>
        <v>183.591603019698</v>
      </c>
      <c r="Y18" s="6" t="n">
        <f aca="false">Revenue!Y21*in_InfraVar</f>
        <v>195.915104929107</v>
      </c>
      <c r="Z18" s="6" t="n">
        <f aca="false">Revenue!Z21*in_InfraVar</f>
        <v>208.318901781234</v>
      </c>
      <c r="AA18" s="6" t="n">
        <f aca="false">Revenue!AA21*in_InfraVar</f>
        <v>220.800584727797</v>
      </c>
      <c r="AB18" s="6" t="n">
        <f aca="false">Revenue!AB21*in_InfraVar</f>
        <v>239.170317185963</v>
      </c>
      <c r="AC18" s="6" t="n">
        <f aca="false">Revenue!AC21*in_InfraVar</f>
        <v>257.588957670384</v>
      </c>
      <c r="AD18" s="6" t="n">
        <f aca="false">Revenue!AD21*in_InfraVar</f>
        <v>276.055038940272</v>
      </c>
      <c r="AE18" s="6" t="n">
        <f aca="false">Revenue!AE21*in_InfraVar</f>
        <v>294.567137772064</v>
      </c>
      <c r="AF18" s="6" t="n">
        <f aca="false">Revenue!AF21*in_InfraVar</f>
        <v>313.123873638902</v>
      </c>
      <c r="AG18" s="6" t="n">
        <f aca="false">Revenue!AG21*in_InfraVar</f>
        <v>331.723907429735</v>
      </c>
      <c r="AH18" s="6" t="n">
        <f aca="false">Revenue!AH21*in_InfraVar</f>
        <v>350.365940206843</v>
      </c>
      <c r="AI18" s="6" t="n">
        <f aca="false">Revenue!AI21*in_InfraVar</f>
        <v>369.048712000638</v>
      </c>
      <c r="AJ18" s="6" t="n">
        <f aca="false">Revenue!AJ21*in_InfraVar</f>
        <v>387.771000640619</v>
      </c>
      <c r="AK18" s="6" t="n">
        <f aca="false">Revenue!AK21*in_InfraVar</f>
        <v>406.5316206214</v>
      </c>
      <c r="AL18" s="6" t="n">
        <f aca="false">Revenue!AL21*in_InfraVar</f>
        <v>425.329422002758</v>
      </c>
    </row>
    <row r="19" customFormat="false" ht="15" hidden="false" customHeight="false" outlineLevel="0" collapsed="false">
      <c r="A19" s="1" t="s">
        <v>259</v>
      </c>
      <c r="B19" s="13" t="s">
        <v>62</v>
      </c>
      <c r="C19" s="40" t="n">
        <f aca="false">in_Tools</f>
        <v>250</v>
      </c>
      <c r="D19" s="40" t="n">
        <f aca="false">in_Tools</f>
        <v>250</v>
      </c>
      <c r="E19" s="40" t="n">
        <f aca="false">in_Tools</f>
        <v>250</v>
      </c>
      <c r="F19" s="40" t="n">
        <f aca="false">in_Tools</f>
        <v>250</v>
      </c>
      <c r="G19" s="40" t="n">
        <f aca="false">in_Tools</f>
        <v>250</v>
      </c>
      <c r="H19" s="40" t="n">
        <f aca="false">in_Tools</f>
        <v>250</v>
      </c>
      <c r="I19" s="40" t="n">
        <f aca="false">in_Tools</f>
        <v>250</v>
      </c>
      <c r="J19" s="40" t="n">
        <f aca="false">in_Tools</f>
        <v>250</v>
      </c>
      <c r="K19" s="40" t="n">
        <f aca="false">in_Tools</f>
        <v>250</v>
      </c>
      <c r="L19" s="40" t="n">
        <f aca="false">in_Tools</f>
        <v>250</v>
      </c>
      <c r="M19" s="40" t="n">
        <f aca="false">in_Tools</f>
        <v>250</v>
      </c>
      <c r="N19" s="40" t="n">
        <f aca="false">in_Tools</f>
        <v>250</v>
      </c>
      <c r="O19" s="40" t="n">
        <f aca="false">in_Tools</f>
        <v>250</v>
      </c>
      <c r="P19" s="40" t="n">
        <f aca="false">in_Tools</f>
        <v>250</v>
      </c>
      <c r="Q19" s="40" t="n">
        <f aca="false">in_Tools</f>
        <v>250</v>
      </c>
      <c r="R19" s="40" t="n">
        <f aca="false">in_Tools</f>
        <v>250</v>
      </c>
      <c r="S19" s="40" t="n">
        <f aca="false">in_Tools</f>
        <v>250</v>
      </c>
      <c r="T19" s="40" t="n">
        <f aca="false">in_Tools</f>
        <v>250</v>
      </c>
      <c r="U19" s="40" t="n">
        <f aca="false">in_Tools</f>
        <v>250</v>
      </c>
      <c r="V19" s="40" t="n">
        <f aca="false">in_Tools</f>
        <v>250</v>
      </c>
      <c r="W19" s="40" t="n">
        <f aca="false">in_Tools</f>
        <v>250</v>
      </c>
      <c r="X19" s="40" t="n">
        <f aca="false">in_Tools</f>
        <v>250</v>
      </c>
      <c r="Y19" s="40" t="n">
        <f aca="false">in_Tools</f>
        <v>250</v>
      </c>
      <c r="Z19" s="40" t="n">
        <f aca="false">in_Tools</f>
        <v>250</v>
      </c>
      <c r="AA19" s="40" t="n">
        <f aca="false">in_Tools</f>
        <v>250</v>
      </c>
      <c r="AB19" s="40" t="n">
        <f aca="false">in_Tools</f>
        <v>250</v>
      </c>
      <c r="AC19" s="40" t="n">
        <f aca="false">in_Tools</f>
        <v>250</v>
      </c>
      <c r="AD19" s="40" t="n">
        <f aca="false">in_Tools</f>
        <v>250</v>
      </c>
      <c r="AE19" s="40" t="n">
        <f aca="false">in_Tools</f>
        <v>250</v>
      </c>
      <c r="AF19" s="40" t="n">
        <f aca="false">in_Tools</f>
        <v>250</v>
      </c>
      <c r="AG19" s="40" t="n">
        <f aca="false">in_Tools</f>
        <v>250</v>
      </c>
      <c r="AH19" s="40" t="n">
        <f aca="false">in_Tools</f>
        <v>250</v>
      </c>
      <c r="AI19" s="40" t="n">
        <f aca="false">in_Tools</f>
        <v>250</v>
      </c>
      <c r="AJ19" s="40" t="n">
        <f aca="false">in_Tools</f>
        <v>250</v>
      </c>
      <c r="AK19" s="40" t="n">
        <f aca="false">in_Tools</f>
        <v>250</v>
      </c>
      <c r="AL19" s="40" t="n">
        <f aca="false">in_Tools</f>
        <v>250</v>
      </c>
    </row>
    <row r="20" customFormat="false" ht="15" hidden="false" customHeight="false" outlineLevel="0" collapsed="false">
      <c r="A20" s="1" t="s">
        <v>142</v>
      </c>
      <c r="B20" s="13" t="s">
        <v>62</v>
      </c>
      <c r="C20" s="6" t="n">
        <f aca="false">Revenue!C28*in_PayFee</f>
        <v>0</v>
      </c>
      <c r="D20" s="6" t="n">
        <f aca="false">Revenue!D28*in_PayFee</f>
        <v>3.6295</v>
      </c>
      <c r="E20" s="6" t="n">
        <f aca="false">Revenue!E28*in_PayFee</f>
        <v>7.150115</v>
      </c>
      <c r="F20" s="6" t="n">
        <f aca="false">Revenue!F28*in_PayFee</f>
        <v>16.27711155</v>
      </c>
      <c r="G20" s="6" t="n">
        <f aca="false">Revenue!G28*in_PayFee</f>
        <v>19.4182982035</v>
      </c>
      <c r="H20" s="6" t="n">
        <f aca="false">Revenue!H28*in_PayFee</f>
        <v>23.131649257395</v>
      </c>
      <c r="I20" s="6" t="n">
        <f aca="false">Revenue!I28*in_PayFee</f>
        <v>26.8287997796732</v>
      </c>
      <c r="J20" s="6" t="n">
        <f aca="false">Revenue!J28*in_PayFee</f>
        <v>30.510235786283</v>
      </c>
      <c r="K20" s="6" t="n">
        <f aca="false">Revenue!K28*in_PayFee</f>
        <v>34.1764287126945</v>
      </c>
      <c r="L20" s="6" t="n">
        <f aca="false">Revenue!L28*in_PayFee</f>
        <v>37.8278358513136</v>
      </c>
      <c r="M20" s="6" t="n">
        <f aca="false">Revenue!M28*in_PayFee</f>
        <v>41.4649007757742</v>
      </c>
      <c r="N20" s="6" t="n">
        <f aca="false">Revenue!N28*in_PayFee</f>
        <v>45.088053752501</v>
      </c>
      <c r="O20" s="6" t="n">
        <f aca="false">Revenue!O28*in_PayFee</f>
        <v>51.1325977469223</v>
      </c>
      <c r="P20" s="6" t="n">
        <f aca="false">Revenue!P28*in_PayFee</f>
        <v>58.7824448145146</v>
      </c>
      <c r="Q20" s="6" t="n">
        <f aca="false">Revenue!Q28*in_PayFee</f>
        <v>66.5026764700792</v>
      </c>
      <c r="R20" s="6" t="n">
        <f aca="false">Revenue!R28*in_PayFee</f>
        <v>74.2911811759768</v>
      </c>
      <c r="S20" s="6" t="n">
        <f aca="false">Revenue!S28*in_PayFee</f>
        <v>82.1459107406975</v>
      </c>
      <c r="T20" s="6" t="n">
        <f aca="false">Revenue!T28*in_PayFee</f>
        <v>90.0648784184766</v>
      </c>
      <c r="U20" s="6" t="n">
        <f aca="false">Revenue!U28*in_PayFee</f>
        <v>98.0461570659223</v>
      </c>
      <c r="V20" s="6" t="n">
        <f aca="false">Revenue!V28*in_PayFee</f>
        <v>106.087877353945</v>
      </c>
      <c r="W20" s="6" t="n">
        <f aca="false">Revenue!W28*in_PayFee</f>
        <v>114.188226033326</v>
      </c>
      <c r="X20" s="6" t="n">
        <f aca="false">Revenue!X28*in_PayFee</f>
        <v>122.345444252326</v>
      </c>
      <c r="Y20" s="6" t="n">
        <f aca="false">Revenue!Y28*in_PayFee</f>
        <v>130.557825924757</v>
      </c>
      <c r="Z20" s="6" t="n">
        <f aca="false">Revenue!Z28*in_PayFee</f>
        <v>138.823716147014</v>
      </c>
      <c r="AA20" s="6" t="n">
        <f aca="false">Revenue!AA28*in_PayFee</f>
        <v>154.498585145734</v>
      </c>
      <c r="AB20" s="6" t="n">
        <f aca="false">Revenue!AB28*in_PayFee</f>
        <v>167.352254341362</v>
      </c>
      <c r="AC20" s="6" t="n">
        <f aca="false">Revenue!AC28*in_PayFee</f>
        <v>180.240145461121</v>
      </c>
      <c r="AD20" s="6" t="n">
        <f aca="false">Revenue!AD28*in_PayFee</f>
        <v>193.161231847287</v>
      </c>
      <c r="AE20" s="6" t="n">
        <f aca="false">Revenue!AE28*in_PayFee</f>
        <v>206.114517641869</v>
      </c>
      <c r="AF20" s="6" t="n">
        <f aca="false">Revenue!AF28*in_PayFee</f>
        <v>219.099036862613</v>
      </c>
      <c r="AG20" s="6" t="n">
        <f aca="false">Revenue!AG28*in_PayFee</f>
        <v>232.113852506734</v>
      </c>
      <c r="AH20" s="6" t="n">
        <f aca="false">Revenue!AH28*in_PayFee</f>
        <v>245.158055681532</v>
      </c>
      <c r="AI20" s="6" t="n">
        <f aca="false">Revenue!AI28*in_PayFee</f>
        <v>258.230764761086</v>
      </c>
      <c r="AJ20" s="6" t="n">
        <f aca="false">Revenue!AJ28*in_PayFee</f>
        <v>271.331124568254</v>
      </c>
      <c r="AK20" s="6" t="n">
        <f aca="false">Revenue!AK28*in_PayFee</f>
        <v>284.458305581206</v>
      </c>
      <c r="AL20" s="6" t="n">
        <f aca="false">Revenue!AL28*in_PayFee</f>
        <v>297.61150316377</v>
      </c>
    </row>
    <row r="21" customFormat="false" ht="15" hidden="false" customHeight="false" outlineLevel="0" collapsed="false">
      <c r="A21" s="1" t="s">
        <v>260</v>
      </c>
      <c r="B21" s="13" t="s">
        <v>62</v>
      </c>
      <c r="C21" s="40" t="n">
        <f aca="false">CHOOSE(C$5,in_MktY1,in_MktY2,in_MktY3)</f>
        <v>1500</v>
      </c>
      <c r="D21" s="40" t="n">
        <f aca="false">CHOOSE(D$5,in_MktY1,in_MktY2,in_MktY3)</f>
        <v>1500</v>
      </c>
      <c r="E21" s="40" t="n">
        <f aca="false">CHOOSE(E$5,in_MktY1,in_MktY2,in_MktY3)</f>
        <v>1500</v>
      </c>
      <c r="F21" s="40" t="n">
        <f aca="false">CHOOSE(F$5,in_MktY1,in_MktY2,in_MktY3)</f>
        <v>1500</v>
      </c>
      <c r="G21" s="40" t="n">
        <f aca="false">CHOOSE(G$5,in_MktY1,in_MktY2,in_MktY3)</f>
        <v>1500</v>
      </c>
      <c r="H21" s="40" t="n">
        <f aca="false">CHOOSE(H$5,in_MktY1,in_MktY2,in_MktY3)</f>
        <v>1500</v>
      </c>
      <c r="I21" s="40" t="n">
        <f aca="false">CHOOSE(I$5,in_MktY1,in_MktY2,in_MktY3)</f>
        <v>1500</v>
      </c>
      <c r="J21" s="40" t="n">
        <f aca="false">CHOOSE(J$5,in_MktY1,in_MktY2,in_MktY3)</f>
        <v>1500</v>
      </c>
      <c r="K21" s="40" t="n">
        <f aca="false">CHOOSE(K$5,in_MktY1,in_MktY2,in_MktY3)</f>
        <v>1500</v>
      </c>
      <c r="L21" s="40" t="n">
        <f aca="false">CHOOSE(L$5,in_MktY1,in_MktY2,in_MktY3)</f>
        <v>1500</v>
      </c>
      <c r="M21" s="40" t="n">
        <f aca="false">CHOOSE(M$5,in_MktY1,in_MktY2,in_MktY3)</f>
        <v>1500</v>
      </c>
      <c r="N21" s="40" t="n">
        <f aca="false">CHOOSE(N$5,in_MktY1,in_MktY2,in_MktY3)</f>
        <v>1500</v>
      </c>
      <c r="O21" s="40" t="n">
        <f aca="false">CHOOSE(O$5,in_MktY1,in_MktY2,in_MktY3)</f>
        <v>2500</v>
      </c>
      <c r="P21" s="40" t="n">
        <f aca="false">CHOOSE(P$5,in_MktY1,in_MktY2,in_MktY3)</f>
        <v>2500</v>
      </c>
      <c r="Q21" s="40" t="n">
        <f aca="false">CHOOSE(Q$5,in_MktY1,in_MktY2,in_MktY3)</f>
        <v>2500</v>
      </c>
      <c r="R21" s="40" t="n">
        <f aca="false">CHOOSE(R$5,in_MktY1,in_MktY2,in_MktY3)</f>
        <v>2500</v>
      </c>
      <c r="S21" s="40" t="n">
        <f aca="false">CHOOSE(S$5,in_MktY1,in_MktY2,in_MktY3)</f>
        <v>2500</v>
      </c>
      <c r="T21" s="40" t="n">
        <f aca="false">CHOOSE(T$5,in_MktY1,in_MktY2,in_MktY3)</f>
        <v>2500</v>
      </c>
      <c r="U21" s="40" t="n">
        <f aca="false">CHOOSE(U$5,in_MktY1,in_MktY2,in_MktY3)</f>
        <v>2500</v>
      </c>
      <c r="V21" s="40" t="n">
        <f aca="false">CHOOSE(V$5,in_MktY1,in_MktY2,in_MktY3)</f>
        <v>2500</v>
      </c>
      <c r="W21" s="40" t="n">
        <f aca="false">CHOOSE(W$5,in_MktY1,in_MktY2,in_MktY3)</f>
        <v>2500</v>
      </c>
      <c r="X21" s="40" t="n">
        <f aca="false">CHOOSE(X$5,in_MktY1,in_MktY2,in_MktY3)</f>
        <v>2500</v>
      </c>
      <c r="Y21" s="40" t="n">
        <f aca="false">CHOOSE(Y$5,in_MktY1,in_MktY2,in_MktY3)</f>
        <v>2500</v>
      </c>
      <c r="Z21" s="40" t="n">
        <f aca="false">CHOOSE(Z$5,in_MktY1,in_MktY2,in_MktY3)</f>
        <v>2500</v>
      </c>
      <c r="AA21" s="40" t="n">
        <f aca="false">CHOOSE(AA$5,in_MktY1,in_MktY2,in_MktY3)</f>
        <v>3500</v>
      </c>
      <c r="AB21" s="40" t="n">
        <f aca="false">CHOOSE(AB$5,in_MktY1,in_MktY2,in_MktY3)</f>
        <v>3500</v>
      </c>
      <c r="AC21" s="40" t="n">
        <f aca="false">CHOOSE(AC$5,in_MktY1,in_MktY2,in_MktY3)</f>
        <v>3500</v>
      </c>
      <c r="AD21" s="40" t="n">
        <f aca="false">CHOOSE(AD$5,in_MktY1,in_MktY2,in_MktY3)</f>
        <v>3500</v>
      </c>
      <c r="AE21" s="40" t="n">
        <f aca="false">CHOOSE(AE$5,in_MktY1,in_MktY2,in_MktY3)</f>
        <v>3500</v>
      </c>
      <c r="AF21" s="40" t="n">
        <f aca="false">CHOOSE(AF$5,in_MktY1,in_MktY2,in_MktY3)</f>
        <v>3500</v>
      </c>
      <c r="AG21" s="40" t="n">
        <f aca="false">CHOOSE(AG$5,in_MktY1,in_MktY2,in_MktY3)</f>
        <v>3500</v>
      </c>
      <c r="AH21" s="40" t="n">
        <f aca="false">CHOOSE(AH$5,in_MktY1,in_MktY2,in_MktY3)</f>
        <v>3500</v>
      </c>
      <c r="AI21" s="40" t="n">
        <f aca="false">CHOOSE(AI$5,in_MktY1,in_MktY2,in_MktY3)</f>
        <v>3500</v>
      </c>
      <c r="AJ21" s="40" t="n">
        <f aca="false">CHOOSE(AJ$5,in_MktY1,in_MktY2,in_MktY3)</f>
        <v>3500</v>
      </c>
      <c r="AK21" s="40" t="n">
        <f aca="false">CHOOSE(AK$5,in_MktY1,in_MktY2,in_MktY3)</f>
        <v>3500</v>
      </c>
      <c r="AL21" s="40" t="n">
        <f aca="false">CHOOSE(AL$5,in_MktY1,in_MktY2,in_MktY3)</f>
        <v>3500</v>
      </c>
    </row>
    <row r="22" customFormat="false" ht="15" hidden="false" customHeight="false" outlineLevel="0" collapsed="false">
      <c r="A22" s="1" t="s">
        <v>261</v>
      </c>
      <c r="B22" s="13" t="s">
        <v>62</v>
      </c>
      <c r="C22" s="40" t="n">
        <f aca="false">in_Travel</f>
        <v>300</v>
      </c>
      <c r="D22" s="40" t="n">
        <f aca="false">in_Travel</f>
        <v>300</v>
      </c>
      <c r="E22" s="40" t="n">
        <f aca="false">in_Travel</f>
        <v>300</v>
      </c>
      <c r="F22" s="40" t="n">
        <f aca="false">in_Travel</f>
        <v>300</v>
      </c>
      <c r="G22" s="40" t="n">
        <f aca="false">in_Travel</f>
        <v>300</v>
      </c>
      <c r="H22" s="40" t="n">
        <f aca="false">in_Travel</f>
        <v>300</v>
      </c>
      <c r="I22" s="40" t="n">
        <f aca="false">in_Travel</f>
        <v>300</v>
      </c>
      <c r="J22" s="40" t="n">
        <f aca="false">in_Travel</f>
        <v>300</v>
      </c>
      <c r="K22" s="40" t="n">
        <f aca="false">in_Travel</f>
        <v>300</v>
      </c>
      <c r="L22" s="40" t="n">
        <f aca="false">in_Travel</f>
        <v>300</v>
      </c>
      <c r="M22" s="40" t="n">
        <f aca="false">in_Travel</f>
        <v>300</v>
      </c>
      <c r="N22" s="40" t="n">
        <f aca="false">in_Travel</f>
        <v>300</v>
      </c>
      <c r="O22" s="40" t="n">
        <f aca="false">in_Travel</f>
        <v>300</v>
      </c>
      <c r="P22" s="40" t="n">
        <f aca="false">in_Travel</f>
        <v>300</v>
      </c>
      <c r="Q22" s="40" t="n">
        <f aca="false">in_Travel</f>
        <v>300</v>
      </c>
      <c r="R22" s="40" t="n">
        <f aca="false">in_Travel</f>
        <v>300</v>
      </c>
      <c r="S22" s="40" t="n">
        <f aca="false">in_Travel</f>
        <v>300</v>
      </c>
      <c r="T22" s="40" t="n">
        <f aca="false">in_Travel</f>
        <v>300</v>
      </c>
      <c r="U22" s="40" t="n">
        <f aca="false">in_Travel</f>
        <v>300</v>
      </c>
      <c r="V22" s="40" t="n">
        <f aca="false">in_Travel</f>
        <v>300</v>
      </c>
      <c r="W22" s="40" t="n">
        <f aca="false">in_Travel</f>
        <v>300</v>
      </c>
      <c r="X22" s="40" t="n">
        <f aca="false">in_Travel</f>
        <v>300</v>
      </c>
      <c r="Y22" s="40" t="n">
        <f aca="false">in_Travel</f>
        <v>300</v>
      </c>
      <c r="Z22" s="40" t="n">
        <f aca="false">in_Travel</f>
        <v>300</v>
      </c>
      <c r="AA22" s="40" t="n">
        <f aca="false">in_Travel</f>
        <v>300</v>
      </c>
      <c r="AB22" s="40" t="n">
        <f aca="false">in_Travel</f>
        <v>300</v>
      </c>
      <c r="AC22" s="40" t="n">
        <f aca="false">in_Travel</f>
        <v>300</v>
      </c>
      <c r="AD22" s="40" t="n">
        <f aca="false">in_Travel</f>
        <v>300</v>
      </c>
      <c r="AE22" s="40" t="n">
        <f aca="false">in_Travel</f>
        <v>300</v>
      </c>
      <c r="AF22" s="40" t="n">
        <f aca="false">in_Travel</f>
        <v>300</v>
      </c>
      <c r="AG22" s="40" t="n">
        <f aca="false">in_Travel</f>
        <v>300</v>
      </c>
      <c r="AH22" s="40" t="n">
        <f aca="false">in_Travel</f>
        <v>300</v>
      </c>
      <c r="AI22" s="40" t="n">
        <f aca="false">in_Travel</f>
        <v>300</v>
      </c>
      <c r="AJ22" s="40" t="n">
        <f aca="false">in_Travel</f>
        <v>300</v>
      </c>
      <c r="AK22" s="40" t="n">
        <f aca="false">in_Travel</f>
        <v>300</v>
      </c>
      <c r="AL22" s="40" t="n">
        <f aca="false">in_Travel</f>
        <v>300</v>
      </c>
    </row>
    <row r="23" customFormat="false" ht="15" hidden="false" customHeight="false" outlineLevel="0" collapsed="false">
      <c r="A23" s="1" t="s">
        <v>262</v>
      </c>
      <c r="B23" s="13" t="s">
        <v>62</v>
      </c>
      <c r="C23" s="6" t="n">
        <f aca="false">in_CommRate*Revenue!C25*SUMPRODUCT((Revenue!$C$3:$AL$3&gt;C$3-in_CommMonths)*(Revenue!$C$3:$AL$3&lt;=C$3)*Revenue!$C$19:$AL$19)</f>
        <v>0</v>
      </c>
      <c r="D23" s="6" t="n">
        <f aca="false">in_CommRate*Revenue!D25*SUMPRODUCT((Revenue!$C$3:$AL$3&gt;D$3-in_CommMonths)*(Revenue!$C$3:$AL$3&lt;=D$3)*Revenue!$C$19:$AL$19)</f>
        <v>0</v>
      </c>
      <c r="E23" s="6" t="n">
        <f aca="false">in_CommRate*Revenue!E25*SUMPRODUCT((Revenue!$C$3:$AL$3&gt;E$3-in_CommMonths)*(Revenue!$C$3:$AL$3&lt;=E$3)*Revenue!$C$19:$AL$19)</f>
        <v>0</v>
      </c>
      <c r="F23" s="6" t="n">
        <f aca="false">in_CommRate*Revenue!F25*SUMPRODUCT((Revenue!$C$3:$AL$3&gt;F$3-in_CommMonths)*(Revenue!$C$3:$AL$3&lt;=F$3)*Revenue!$C$19:$AL$19)</f>
        <v>57.12</v>
      </c>
      <c r="G23" s="6" t="n">
        <f aca="false">in_CommRate*Revenue!G25*SUMPRODUCT((Revenue!$C$3:$AL$3&gt;G$3-in_CommMonths)*(Revenue!$C$3:$AL$3&lt;=G$3)*Revenue!$C$19:$AL$19)</f>
        <v>57.12</v>
      </c>
      <c r="H23" s="6" t="n">
        <f aca="false">in_CommRate*Revenue!H25*SUMPRODUCT((Revenue!$C$3:$AL$3&gt;H$3-in_CommMonths)*(Revenue!$C$3:$AL$3&lt;=H$3)*Revenue!$C$19:$AL$19)</f>
        <v>63.784</v>
      </c>
      <c r="I23" s="6" t="n">
        <f aca="false">in_CommRate*Revenue!I25*SUMPRODUCT((Revenue!$C$3:$AL$3&gt;I$3-in_CommMonths)*(Revenue!$C$3:$AL$3&lt;=I$3)*Revenue!$C$19:$AL$19)</f>
        <v>71.4</v>
      </c>
      <c r="J23" s="6" t="n">
        <f aca="false">in_CommRate*Revenue!J25*SUMPRODUCT((Revenue!$C$3:$AL$3&gt;J$3-in_CommMonths)*(Revenue!$C$3:$AL$3&lt;=J$3)*Revenue!$C$19:$AL$19)</f>
        <v>79.968</v>
      </c>
      <c r="K23" s="6" t="n">
        <f aca="false">in_CommRate*Revenue!K25*SUMPRODUCT((Revenue!$C$3:$AL$3&gt;K$3-in_CommMonths)*(Revenue!$C$3:$AL$3&lt;=K$3)*Revenue!$C$19:$AL$19)</f>
        <v>89.488</v>
      </c>
      <c r="L23" s="6" t="n">
        <f aca="false">in_CommRate*Revenue!L25*SUMPRODUCT((Revenue!$C$3:$AL$3&gt;L$3-in_CommMonths)*(Revenue!$C$3:$AL$3&lt;=L$3)*Revenue!$C$19:$AL$19)</f>
        <v>42.84</v>
      </c>
      <c r="M23" s="6" t="n">
        <f aca="false">in_CommRate*Revenue!M25*SUMPRODUCT((Revenue!$C$3:$AL$3&gt;M$3-in_CommMonths)*(Revenue!$C$3:$AL$3&lt;=M$3)*Revenue!$C$19:$AL$19)</f>
        <v>54.264</v>
      </c>
      <c r="N23" s="6" t="n">
        <f aca="false">in_CommRate*Revenue!N25*SUMPRODUCT((Revenue!$C$3:$AL$3&gt;N$3-in_CommMonths)*(Revenue!$C$3:$AL$3&lt;=N$3)*Revenue!$C$19:$AL$19)</f>
        <v>59.976</v>
      </c>
      <c r="O23" s="6" t="n">
        <f aca="false">in_CommRate*Revenue!O25*SUMPRODUCT((Revenue!$C$3:$AL$3&gt;O$3-in_CommMonths)*(Revenue!$C$3:$AL$3&lt;=O$3)*Revenue!$C$19:$AL$19)</f>
        <v>68.9724</v>
      </c>
      <c r="P23" s="6" t="n">
        <f aca="false">in_CommRate*Revenue!P25*SUMPRODUCT((Revenue!$C$3:$AL$3&gt;P$3-in_CommMonths)*(Revenue!$C$3:$AL$3&lt;=P$3)*Revenue!$C$19:$AL$19)</f>
        <v>74.97</v>
      </c>
      <c r="Q23" s="6" t="n">
        <f aca="false">in_CommRate*Revenue!Q25*SUMPRODUCT((Revenue!$C$3:$AL$3&gt;Q$3-in_CommMonths)*(Revenue!$C$3:$AL$3&lt;=Q$3)*Revenue!$C$19:$AL$19)</f>
        <v>82.9668</v>
      </c>
      <c r="R23" s="6" t="n">
        <f aca="false">in_CommRate*Revenue!R25*SUMPRODUCT((Revenue!$C$3:$AL$3&gt;R$3-in_CommMonths)*(Revenue!$C$3:$AL$3&lt;=R$3)*Revenue!$C$19:$AL$19)</f>
        <v>92.9628</v>
      </c>
      <c r="S23" s="6" t="n">
        <f aca="false">in_CommRate*Revenue!S25*SUMPRODUCT((Revenue!$C$3:$AL$3&gt;S$3-in_CommMonths)*(Revenue!$C$3:$AL$3&lt;=S$3)*Revenue!$C$19:$AL$19)</f>
        <v>104.958</v>
      </c>
      <c r="T23" s="6" t="n">
        <f aca="false">in_CommRate*Revenue!T25*SUMPRODUCT((Revenue!$C$3:$AL$3&gt;T$3-in_CommMonths)*(Revenue!$C$3:$AL$3&lt;=T$3)*Revenue!$C$19:$AL$19)</f>
        <v>118.9524</v>
      </c>
      <c r="U23" s="6" t="n">
        <f aca="false">in_CommRate*Revenue!U25*SUMPRODUCT((Revenue!$C$3:$AL$3&gt;U$3-in_CommMonths)*(Revenue!$C$3:$AL$3&lt;=U$3)*Revenue!$C$19:$AL$19)</f>
        <v>134.946</v>
      </c>
      <c r="V23" s="6" t="n">
        <f aca="false">in_CommRate*Revenue!V25*SUMPRODUCT((Revenue!$C$3:$AL$3&gt;V$3-in_CommMonths)*(Revenue!$C$3:$AL$3&lt;=V$3)*Revenue!$C$19:$AL$19)</f>
        <v>152.9388</v>
      </c>
      <c r="W23" s="6" t="n">
        <f aca="false">in_CommRate*Revenue!W25*SUMPRODUCT((Revenue!$C$3:$AL$3&gt;W$3-in_CommMonths)*(Revenue!$C$3:$AL$3&lt;=W$3)*Revenue!$C$19:$AL$19)</f>
        <v>170.9316</v>
      </c>
      <c r="X23" s="6" t="n">
        <f aca="false">in_CommRate*Revenue!X25*SUMPRODUCT((Revenue!$C$3:$AL$3&gt;X$3-in_CommMonths)*(Revenue!$C$3:$AL$3&lt;=X$3)*Revenue!$C$19:$AL$19)</f>
        <v>188.9244</v>
      </c>
      <c r="Y23" s="6" t="n">
        <f aca="false">in_CommRate*Revenue!Y25*SUMPRODUCT((Revenue!$C$3:$AL$3&gt;Y$3-in_CommMonths)*(Revenue!$C$3:$AL$3&lt;=Y$3)*Revenue!$C$19:$AL$19)</f>
        <v>206.9172</v>
      </c>
      <c r="Z23" s="6" t="n">
        <f aca="false">in_CommRate*Revenue!Z25*SUMPRODUCT((Revenue!$C$3:$AL$3&gt;Z$3-in_CommMonths)*(Revenue!$C$3:$AL$3&lt;=Z$3)*Revenue!$C$19:$AL$19)</f>
        <v>224.91</v>
      </c>
      <c r="AA23" s="6" t="n">
        <f aca="false">in_CommRate*Revenue!AA25*SUMPRODUCT((Revenue!$C$3:$AL$3&gt;AA$3-in_CommMonths)*(Revenue!$C$3:$AL$3&lt;=AA$3)*Revenue!$C$19:$AL$19)</f>
        <v>255.04794</v>
      </c>
      <c r="AB23" s="6" t="n">
        <f aca="false">in_CommRate*Revenue!AB25*SUMPRODUCT((Revenue!$C$3:$AL$3&gt;AB$3-in_CommMonths)*(Revenue!$C$3:$AL$3&lt;=AB$3)*Revenue!$C$19:$AL$19)</f>
        <v>273.94038</v>
      </c>
      <c r="AC23" s="6" t="n">
        <f aca="false">in_CommRate*Revenue!AC25*SUMPRODUCT((Revenue!$C$3:$AL$3&gt;AC$3-in_CommMonths)*(Revenue!$C$3:$AL$3&lt;=AC$3)*Revenue!$C$19:$AL$19)</f>
        <v>293.8824</v>
      </c>
      <c r="AD23" s="6" t="n">
        <f aca="false">in_CommRate*Revenue!AD25*SUMPRODUCT((Revenue!$C$3:$AL$3&gt;AD$3-in_CommMonths)*(Revenue!$C$3:$AL$3&lt;=AD$3)*Revenue!$C$19:$AL$19)</f>
        <v>314.874</v>
      </c>
      <c r="AE23" s="6" t="n">
        <f aca="false">in_CommRate*Revenue!AE25*SUMPRODUCT((Revenue!$C$3:$AL$3&gt;AE$3-in_CommMonths)*(Revenue!$C$3:$AL$3&lt;=AE$3)*Revenue!$C$19:$AL$19)</f>
        <v>336.91518</v>
      </c>
      <c r="AF23" s="6" t="n">
        <f aca="false">in_CommRate*Revenue!AF25*SUMPRODUCT((Revenue!$C$3:$AL$3&gt;AF$3-in_CommMonths)*(Revenue!$C$3:$AL$3&lt;=AF$3)*Revenue!$C$19:$AL$19)</f>
        <v>360.00594</v>
      </c>
      <c r="AG23" s="6" t="n">
        <f aca="false">in_CommRate*Revenue!AG25*SUMPRODUCT((Revenue!$C$3:$AL$3&gt;AG$3-in_CommMonths)*(Revenue!$C$3:$AL$3&lt;=AG$3)*Revenue!$C$19:$AL$19)</f>
        <v>384.14628</v>
      </c>
      <c r="AH23" s="6" t="n">
        <f aca="false">in_CommRate*Revenue!AH25*SUMPRODUCT((Revenue!$C$3:$AL$3&gt;AH$3-in_CommMonths)*(Revenue!$C$3:$AL$3&lt;=AH$3)*Revenue!$C$19:$AL$19)</f>
        <v>409.3362</v>
      </c>
      <c r="AI23" s="6" t="n">
        <f aca="false">in_CommRate*Revenue!AI25*SUMPRODUCT((Revenue!$C$3:$AL$3&gt;AI$3-in_CommMonths)*(Revenue!$C$3:$AL$3&lt;=AI$3)*Revenue!$C$19:$AL$19)</f>
        <v>434.52612</v>
      </c>
      <c r="AJ23" s="6" t="n">
        <f aca="false">in_CommRate*Revenue!AJ25*SUMPRODUCT((Revenue!$C$3:$AL$3&gt;AJ$3-in_CommMonths)*(Revenue!$C$3:$AL$3&lt;=AJ$3)*Revenue!$C$19:$AL$19)</f>
        <v>459.71604</v>
      </c>
      <c r="AK23" s="6" t="n">
        <f aca="false">in_CommRate*Revenue!AK25*SUMPRODUCT((Revenue!$C$3:$AL$3&gt;AK$3-in_CommMonths)*(Revenue!$C$3:$AL$3&lt;=AK$3)*Revenue!$C$19:$AL$19)</f>
        <v>484.90596</v>
      </c>
      <c r="AL23" s="6" t="n">
        <f aca="false">in_CommRate*Revenue!AL25*SUMPRODUCT((Revenue!$C$3:$AL$3&gt;AL$3-in_CommMonths)*(Revenue!$C$3:$AL$3&lt;=AL$3)*Revenue!$C$19:$AL$19)</f>
        <v>510.09588</v>
      </c>
    </row>
    <row r="24" customFormat="false" ht="15" hidden="false" customHeight="false" outlineLevel="0" collapsed="false">
      <c r="A24" s="1" t="s">
        <v>263</v>
      </c>
      <c r="B24" s="13" t="s">
        <v>62</v>
      </c>
      <c r="C24" s="40" t="n">
        <f aca="false">in_Office</f>
        <v>200</v>
      </c>
      <c r="D24" s="40" t="n">
        <f aca="false">in_Office</f>
        <v>200</v>
      </c>
      <c r="E24" s="40" t="n">
        <f aca="false">in_Office</f>
        <v>200</v>
      </c>
      <c r="F24" s="40" t="n">
        <f aca="false">in_Office</f>
        <v>200</v>
      </c>
      <c r="G24" s="40" t="n">
        <f aca="false">in_Office</f>
        <v>200</v>
      </c>
      <c r="H24" s="40" t="n">
        <f aca="false">in_Office</f>
        <v>200</v>
      </c>
      <c r="I24" s="40" t="n">
        <f aca="false">in_Office</f>
        <v>200</v>
      </c>
      <c r="J24" s="40" t="n">
        <f aca="false">in_Office</f>
        <v>200</v>
      </c>
      <c r="K24" s="40" t="n">
        <f aca="false">in_Office</f>
        <v>200</v>
      </c>
      <c r="L24" s="40" t="n">
        <f aca="false">in_Office</f>
        <v>200</v>
      </c>
      <c r="M24" s="40" t="n">
        <f aca="false">in_Office</f>
        <v>200</v>
      </c>
      <c r="N24" s="40" t="n">
        <f aca="false">in_Office</f>
        <v>200</v>
      </c>
      <c r="O24" s="40" t="n">
        <f aca="false">in_Office</f>
        <v>200</v>
      </c>
      <c r="P24" s="40" t="n">
        <f aca="false">in_Office</f>
        <v>200</v>
      </c>
      <c r="Q24" s="40" t="n">
        <f aca="false">in_Office</f>
        <v>200</v>
      </c>
      <c r="R24" s="40" t="n">
        <f aca="false">in_Office</f>
        <v>200</v>
      </c>
      <c r="S24" s="40" t="n">
        <f aca="false">in_Office</f>
        <v>200</v>
      </c>
      <c r="T24" s="40" t="n">
        <f aca="false">in_Office</f>
        <v>200</v>
      </c>
      <c r="U24" s="40" t="n">
        <f aca="false">in_Office</f>
        <v>200</v>
      </c>
      <c r="V24" s="40" t="n">
        <f aca="false">in_Office</f>
        <v>200</v>
      </c>
      <c r="W24" s="40" t="n">
        <f aca="false">in_Office</f>
        <v>200</v>
      </c>
      <c r="X24" s="40" t="n">
        <f aca="false">in_Office</f>
        <v>200</v>
      </c>
      <c r="Y24" s="40" t="n">
        <f aca="false">in_Office</f>
        <v>200</v>
      </c>
      <c r="Z24" s="40" t="n">
        <f aca="false">in_Office</f>
        <v>200</v>
      </c>
      <c r="AA24" s="40" t="n">
        <f aca="false">in_Office</f>
        <v>200</v>
      </c>
      <c r="AB24" s="40" t="n">
        <f aca="false">in_Office</f>
        <v>200</v>
      </c>
      <c r="AC24" s="40" t="n">
        <f aca="false">in_Office</f>
        <v>200</v>
      </c>
      <c r="AD24" s="40" t="n">
        <f aca="false">in_Office</f>
        <v>200</v>
      </c>
      <c r="AE24" s="40" t="n">
        <f aca="false">in_Office</f>
        <v>200</v>
      </c>
      <c r="AF24" s="40" t="n">
        <f aca="false">in_Office</f>
        <v>200</v>
      </c>
      <c r="AG24" s="40" t="n">
        <f aca="false">in_Office</f>
        <v>200</v>
      </c>
      <c r="AH24" s="40" t="n">
        <f aca="false">in_Office</f>
        <v>200</v>
      </c>
      <c r="AI24" s="40" t="n">
        <f aca="false">in_Office</f>
        <v>200</v>
      </c>
      <c r="AJ24" s="40" t="n">
        <f aca="false">in_Office</f>
        <v>200</v>
      </c>
      <c r="AK24" s="40" t="n">
        <f aca="false">in_Office</f>
        <v>200</v>
      </c>
      <c r="AL24" s="40" t="n">
        <f aca="false">in_Office</f>
        <v>200</v>
      </c>
    </row>
    <row r="25" customFormat="false" ht="15" hidden="false" customHeight="false" outlineLevel="0" collapsed="false">
      <c r="A25" s="1" t="s">
        <v>152</v>
      </c>
      <c r="B25" s="13" t="s">
        <v>62</v>
      </c>
      <c r="C25" s="40" t="n">
        <f aca="false">in_Insurance</f>
        <v>100</v>
      </c>
      <c r="D25" s="40" t="n">
        <f aca="false">in_Insurance</f>
        <v>100</v>
      </c>
      <c r="E25" s="40" t="n">
        <f aca="false">in_Insurance</f>
        <v>100</v>
      </c>
      <c r="F25" s="40" t="n">
        <f aca="false">in_Insurance</f>
        <v>100</v>
      </c>
      <c r="G25" s="40" t="n">
        <f aca="false">in_Insurance</f>
        <v>100</v>
      </c>
      <c r="H25" s="40" t="n">
        <f aca="false">in_Insurance</f>
        <v>100</v>
      </c>
      <c r="I25" s="40" t="n">
        <f aca="false">in_Insurance</f>
        <v>100</v>
      </c>
      <c r="J25" s="40" t="n">
        <f aca="false">in_Insurance</f>
        <v>100</v>
      </c>
      <c r="K25" s="40" t="n">
        <f aca="false">in_Insurance</f>
        <v>100</v>
      </c>
      <c r="L25" s="40" t="n">
        <f aca="false">in_Insurance</f>
        <v>100</v>
      </c>
      <c r="M25" s="40" t="n">
        <f aca="false">in_Insurance</f>
        <v>100</v>
      </c>
      <c r="N25" s="40" t="n">
        <f aca="false">in_Insurance</f>
        <v>100</v>
      </c>
      <c r="O25" s="40" t="n">
        <f aca="false">in_Insurance</f>
        <v>100</v>
      </c>
      <c r="P25" s="40" t="n">
        <f aca="false">in_Insurance</f>
        <v>100</v>
      </c>
      <c r="Q25" s="40" t="n">
        <f aca="false">in_Insurance</f>
        <v>100</v>
      </c>
      <c r="R25" s="40" t="n">
        <f aca="false">in_Insurance</f>
        <v>100</v>
      </c>
      <c r="S25" s="40" t="n">
        <f aca="false">in_Insurance</f>
        <v>100</v>
      </c>
      <c r="T25" s="40" t="n">
        <f aca="false">in_Insurance</f>
        <v>100</v>
      </c>
      <c r="U25" s="40" t="n">
        <f aca="false">in_Insurance</f>
        <v>100</v>
      </c>
      <c r="V25" s="40" t="n">
        <f aca="false">in_Insurance</f>
        <v>100</v>
      </c>
      <c r="W25" s="40" t="n">
        <f aca="false">in_Insurance</f>
        <v>100</v>
      </c>
      <c r="X25" s="40" t="n">
        <f aca="false">in_Insurance</f>
        <v>100</v>
      </c>
      <c r="Y25" s="40" t="n">
        <f aca="false">in_Insurance</f>
        <v>100</v>
      </c>
      <c r="Z25" s="40" t="n">
        <f aca="false">in_Insurance</f>
        <v>100</v>
      </c>
      <c r="AA25" s="40" t="n">
        <f aca="false">in_Insurance</f>
        <v>100</v>
      </c>
      <c r="AB25" s="40" t="n">
        <f aca="false">in_Insurance</f>
        <v>100</v>
      </c>
      <c r="AC25" s="40" t="n">
        <f aca="false">in_Insurance</f>
        <v>100</v>
      </c>
      <c r="AD25" s="40" t="n">
        <f aca="false">in_Insurance</f>
        <v>100</v>
      </c>
      <c r="AE25" s="40" t="n">
        <f aca="false">in_Insurance</f>
        <v>100</v>
      </c>
      <c r="AF25" s="40" t="n">
        <f aca="false">in_Insurance</f>
        <v>100</v>
      </c>
      <c r="AG25" s="40" t="n">
        <f aca="false">in_Insurance</f>
        <v>100</v>
      </c>
      <c r="AH25" s="40" t="n">
        <f aca="false">in_Insurance</f>
        <v>100</v>
      </c>
      <c r="AI25" s="40" t="n">
        <f aca="false">in_Insurance</f>
        <v>100</v>
      </c>
      <c r="AJ25" s="40" t="n">
        <f aca="false">in_Insurance</f>
        <v>100</v>
      </c>
      <c r="AK25" s="40" t="n">
        <f aca="false">in_Insurance</f>
        <v>100</v>
      </c>
      <c r="AL25" s="40" t="n">
        <f aca="false">in_Insurance</f>
        <v>100</v>
      </c>
    </row>
    <row r="26" customFormat="false" ht="15" hidden="false" customHeight="false" outlineLevel="0" collapsed="false">
      <c r="A26" s="1" t="s">
        <v>154</v>
      </c>
      <c r="B26" s="13" t="s">
        <v>62</v>
      </c>
      <c r="C26" s="40" t="n">
        <f aca="false">in_Admin</f>
        <v>200</v>
      </c>
      <c r="D26" s="40" t="n">
        <f aca="false">in_Admin</f>
        <v>200</v>
      </c>
      <c r="E26" s="40" t="n">
        <f aca="false">in_Admin</f>
        <v>200</v>
      </c>
      <c r="F26" s="40" t="n">
        <f aca="false">in_Admin</f>
        <v>200</v>
      </c>
      <c r="G26" s="40" t="n">
        <f aca="false">in_Admin</f>
        <v>200</v>
      </c>
      <c r="H26" s="40" t="n">
        <f aca="false">in_Admin</f>
        <v>200</v>
      </c>
      <c r="I26" s="40" t="n">
        <f aca="false">in_Admin</f>
        <v>200</v>
      </c>
      <c r="J26" s="40" t="n">
        <f aca="false">in_Admin</f>
        <v>200</v>
      </c>
      <c r="K26" s="40" t="n">
        <f aca="false">in_Admin</f>
        <v>200</v>
      </c>
      <c r="L26" s="40" t="n">
        <f aca="false">in_Admin</f>
        <v>200</v>
      </c>
      <c r="M26" s="40" t="n">
        <f aca="false">in_Admin</f>
        <v>200</v>
      </c>
      <c r="N26" s="40" t="n">
        <f aca="false">in_Admin</f>
        <v>200</v>
      </c>
      <c r="O26" s="40" t="n">
        <f aca="false">in_Admin</f>
        <v>200</v>
      </c>
      <c r="P26" s="40" t="n">
        <f aca="false">in_Admin</f>
        <v>200</v>
      </c>
      <c r="Q26" s="40" t="n">
        <f aca="false">in_Admin</f>
        <v>200</v>
      </c>
      <c r="R26" s="40" t="n">
        <f aca="false">in_Admin</f>
        <v>200</v>
      </c>
      <c r="S26" s="40" t="n">
        <f aca="false">in_Admin</f>
        <v>200</v>
      </c>
      <c r="T26" s="40" t="n">
        <f aca="false">in_Admin</f>
        <v>200</v>
      </c>
      <c r="U26" s="40" t="n">
        <f aca="false">in_Admin</f>
        <v>200</v>
      </c>
      <c r="V26" s="40" t="n">
        <f aca="false">in_Admin</f>
        <v>200</v>
      </c>
      <c r="W26" s="40" t="n">
        <f aca="false">in_Admin</f>
        <v>200</v>
      </c>
      <c r="X26" s="40" t="n">
        <f aca="false">in_Admin</f>
        <v>200</v>
      </c>
      <c r="Y26" s="40" t="n">
        <f aca="false">in_Admin</f>
        <v>200</v>
      </c>
      <c r="Z26" s="40" t="n">
        <f aca="false">in_Admin</f>
        <v>200</v>
      </c>
      <c r="AA26" s="40" t="n">
        <f aca="false">in_Admin</f>
        <v>200</v>
      </c>
      <c r="AB26" s="40" t="n">
        <f aca="false">in_Admin</f>
        <v>200</v>
      </c>
      <c r="AC26" s="40" t="n">
        <f aca="false">in_Admin</f>
        <v>200</v>
      </c>
      <c r="AD26" s="40" t="n">
        <f aca="false">in_Admin</f>
        <v>200</v>
      </c>
      <c r="AE26" s="40" t="n">
        <f aca="false">in_Admin</f>
        <v>200</v>
      </c>
      <c r="AF26" s="40" t="n">
        <f aca="false">in_Admin</f>
        <v>200</v>
      </c>
      <c r="AG26" s="40" t="n">
        <f aca="false">in_Admin</f>
        <v>200</v>
      </c>
      <c r="AH26" s="40" t="n">
        <f aca="false">in_Admin</f>
        <v>200</v>
      </c>
      <c r="AI26" s="40" t="n">
        <f aca="false">in_Admin</f>
        <v>200</v>
      </c>
      <c r="AJ26" s="40" t="n">
        <f aca="false">in_Admin</f>
        <v>200</v>
      </c>
      <c r="AK26" s="40" t="n">
        <f aca="false">in_Admin</f>
        <v>200</v>
      </c>
      <c r="AL26" s="40" t="n">
        <f aca="false">in_Admin</f>
        <v>200</v>
      </c>
    </row>
    <row r="27" customFormat="false" ht="15" hidden="false" customHeight="false" outlineLevel="0" collapsed="false">
      <c r="A27" s="1" t="s">
        <v>264</v>
      </c>
      <c r="B27" s="13" t="s">
        <v>62</v>
      </c>
      <c r="C27" s="40" t="n">
        <f aca="false">IF(AND(C$3&gt;=in_LegalStart,C$3&lt;=in_LegalEnd),in_LegalAmt/(in_LegalEnd-in_LegalStart+1),0)</f>
        <v>2500</v>
      </c>
      <c r="D27" s="40" t="n">
        <f aca="false">IF(AND(D$3&gt;=in_LegalStart,D$3&lt;=in_LegalEnd),in_LegalAmt/(in_LegalEnd-in_LegalStart+1),0)</f>
        <v>2500</v>
      </c>
      <c r="E27" s="40" t="n">
        <f aca="false">IF(AND(E$3&gt;=in_LegalStart,E$3&lt;=in_LegalEnd),in_LegalAmt/(in_LegalEnd-in_LegalStart+1),0)</f>
        <v>0</v>
      </c>
      <c r="F27" s="40" t="n">
        <f aca="false">IF(AND(F$3&gt;=in_LegalStart,F$3&lt;=in_LegalEnd),in_LegalAmt/(in_LegalEnd-in_LegalStart+1),0)</f>
        <v>0</v>
      </c>
      <c r="G27" s="40" t="n">
        <f aca="false">IF(AND(G$3&gt;=in_LegalStart,G$3&lt;=in_LegalEnd),in_LegalAmt/(in_LegalEnd-in_LegalStart+1),0)</f>
        <v>0</v>
      </c>
      <c r="H27" s="40" t="n">
        <f aca="false">IF(AND(H$3&gt;=in_LegalStart,H$3&lt;=in_LegalEnd),in_LegalAmt/(in_LegalEnd-in_LegalStart+1),0)</f>
        <v>0</v>
      </c>
      <c r="I27" s="40" t="n">
        <f aca="false">IF(AND(I$3&gt;=in_LegalStart,I$3&lt;=in_LegalEnd),in_LegalAmt/(in_LegalEnd-in_LegalStart+1),0)</f>
        <v>0</v>
      </c>
      <c r="J27" s="40" t="n">
        <f aca="false">IF(AND(J$3&gt;=in_LegalStart,J$3&lt;=in_LegalEnd),in_LegalAmt/(in_LegalEnd-in_LegalStart+1),0)</f>
        <v>0</v>
      </c>
      <c r="K27" s="40" t="n">
        <f aca="false">IF(AND(K$3&gt;=in_LegalStart,K$3&lt;=in_LegalEnd),in_LegalAmt/(in_LegalEnd-in_LegalStart+1),0)</f>
        <v>0</v>
      </c>
      <c r="L27" s="40" t="n">
        <f aca="false">IF(AND(L$3&gt;=in_LegalStart,L$3&lt;=in_LegalEnd),in_LegalAmt/(in_LegalEnd-in_LegalStart+1),0)</f>
        <v>0</v>
      </c>
      <c r="M27" s="40" t="n">
        <f aca="false">IF(AND(M$3&gt;=in_LegalStart,M$3&lt;=in_LegalEnd),in_LegalAmt/(in_LegalEnd-in_LegalStart+1),0)</f>
        <v>0</v>
      </c>
      <c r="N27" s="40" t="n">
        <f aca="false">IF(AND(N$3&gt;=in_LegalStart,N$3&lt;=in_LegalEnd),in_LegalAmt/(in_LegalEnd-in_LegalStart+1),0)</f>
        <v>0</v>
      </c>
      <c r="O27" s="40" t="n">
        <f aca="false">IF(AND(O$3&gt;=in_LegalStart,O$3&lt;=in_LegalEnd),in_LegalAmt/(in_LegalEnd-in_LegalStart+1),0)</f>
        <v>0</v>
      </c>
      <c r="P27" s="40" t="n">
        <f aca="false">IF(AND(P$3&gt;=in_LegalStart,P$3&lt;=in_LegalEnd),in_LegalAmt/(in_LegalEnd-in_LegalStart+1),0)</f>
        <v>0</v>
      </c>
      <c r="Q27" s="40" t="n">
        <f aca="false">IF(AND(Q$3&gt;=in_LegalStart,Q$3&lt;=in_LegalEnd),in_LegalAmt/(in_LegalEnd-in_LegalStart+1),0)</f>
        <v>0</v>
      </c>
      <c r="R27" s="40" t="n">
        <f aca="false">IF(AND(R$3&gt;=in_LegalStart,R$3&lt;=in_LegalEnd),in_LegalAmt/(in_LegalEnd-in_LegalStart+1),0)</f>
        <v>0</v>
      </c>
      <c r="S27" s="40" t="n">
        <f aca="false">IF(AND(S$3&gt;=in_LegalStart,S$3&lt;=in_LegalEnd),in_LegalAmt/(in_LegalEnd-in_LegalStart+1),0)</f>
        <v>0</v>
      </c>
      <c r="T27" s="40" t="n">
        <f aca="false">IF(AND(T$3&gt;=in_LegalStart,T$3&lt;=in_LegalEnd),in_LegalAmt/(in_LegalEnd-in_LegalStart+1),0)</f>
        <v>0</v>
      </c>
      <c r="U27" s="40" t="n">
        <f aca="false">IF(AND(U$3&gt;=in_LegalStart,U$3&lt;=in_LegalEnd),in_LegalAmt/(in_LegalEnd-in_LegalStart+1),0)</f>
        <v>0</v>
      </c>
      <c r="V27" s="40" t="n">
        <f aca="false">IF(AND(V$3&gt;=in_LegalStart,V$3&lt;=in_LegalEnd),in_LegalAmt/(in_LegalEnd-in_LegalStart+1),0)</f>
        <v>0</v>
      </c>
      <c r="W27" s="40" t="n">
        <f aca="false">IF(AND(W$3&gt;=in_LegalStart,W$3&lt;=in_LegalEnd),in_LegalAmt/(in_LegalEnd-in_LegalStart+1),0)</f>
        <v>0</v>
      </c>
      <c r="X27" s="40" t="n">
        <f aca="false">IF(AND(X$3&gt;=in_LegalStart,X$3&lt;=in_LegalEnd),in_LegalAmt/(in_LegalEnd-in_LegalStart+1),0)</f>
        <v>0</v>
      </c>
      <c r="Y27" s="40" t="n">
        <f aca="false">IF(AND(Y$3&gt;=in_LegalStart,Y$3&lt;=in_LegalEnd),in_LegalAmt/(in_LegalEnd-in_LegalStart+1),0)</f>
        <v>0</v>
      </c>
      <c r="Z27" s="40" t="n">
        <f aca="false">IF(AND(Z$3&gt;=in_LegalStart,Z$3&lt;=in_LegalEnd),in_LegalAmt/(in_LegalEnd-in_LegalStart+1),0)</f>
        <v>0</v>
      </c>
      <c r="AA27" s="40" t="n">
        <f aca="false">IF(AND(AA$3&gt;=in_LegalStart,AA$3&lt;=in_LegalEnd),in_LegalAmt/(in_LegalEnd-in_LegalStart+1),0)</f>
        <v>0</v>
      </c>
      <c r="AB27" s="40" t="n">
        <f aca="false">IF(AND(AB$3&gt;=in_LegalStart,AB$3&lt;=in_LegalEnd),in_LegalAmt/(in_LegalEnd-in_LegalStart+1),0)</f>
        <v>0</v>
      </c>
      <c r="AC27" s="40" t="n">
        <f aca="false">IF(AND(AC$3&gt;=in_LegalStart,AC$3&lt;=in_LegalEnd),in_LegalAmt/(in_LegalEnd-in_LegalStart+1),0)</f>
        <v>0</v>
      </c>
      <c r="AD27" s="40" t="n">
        <f aca="false">IF(AND(AD$3&gt;=in_LegalStart,AD$3&lt;=in_LegalEnd),in_LegalAmt/(in_LegalEnd-in_LegalStart+1),0)</f>
        <v>0</v>
      </c>
      <c r="AE27" s="40" t="n">
        <f aca="false">IF(AND(AE$3&gt;=in_LegalStart,AE$3&lt;=in_LegalEnd),in_LegalAmt/(in_LegalEnd-in_LegalStart+1),0)</f>
        <v>0</v>
      </c>
      <c r="AF27" s="40" t="n">
        <f aca="false">IF(AND(AF$3&gt;=in_LegalStart,AF$3&lt;=in_LegalEnd),in_LegalAmt/(in_LegalEnd-in_LegalStart+1),0)</f>
        <v>0</v>
      </c>
      <c r="AG27" s="40" t="n">
        <f aca="false">IF(AND(AG$3&gt;=in_LegalStart,AG$3&lt;=in_LegalEnd),in_LegalAmt/(in_LegalEnd-in_LegalStart+1),0)</f>
        <v>0</v>
      </c>
      <c r="AH27" s="40" t="n">
        <f aca="false">IF(AND(AH$3&gt;=in_LegalStart,AH$3&lt;=in_LegalEnd),in_LegalAmt/(in_LegalEnd-in_LegalStart+1),0)</f>
        <v>0</v>
      </c>
      <c r="AI27" s="40" t="n">
        <f aca="false">IF(AND(AI$3&gt;=in_LegalStart,AI$3&lt;=in_LegalEnd),in_LegalAmt/(in_LegalEnd-in_LegalStart+1),0)</f>
        <v>0</v>
      </c>
      <c r="AJ27" s="40" t="n">
        <f aca="false">IF(AND(AJ$3&gt;=in_LegalStart,AJ$3&lt;=in_LegalEnd),in_LegalAmt/(in_LegalEnd-in_LegalStart+1),0)</f>
        <v>0</v>
      </c>
      <c r="AK27" s="40" t="n">
        <f aca="false">IF(AND(AK$3&gt;=in_LegalStart,AK$3&lt;=in_LegalEnd),in_LegalAmt/(in_LegalEnd-in_LegalStart+1),0)</f>
        <v>0</v>
      </c>
      <c r="AL27" s="40" t="n">
        <f aca="false">IF(AND(AL$3&gt;=in_LegalStart,AL$3&lt;=in_LegalEnd),in_LegalAmt/(in_LegalEnd-in_LegalStart+1),0)</f>
        <v>0</v>
      </c>
    </row>
    <row r="28" customFormat="false" ht="15" hidden="false" customHeight="false" outlineLevel="0" collapsed="false">
      <c r="A28" s="1" t="s">
        <v>265</v>
      </c>
      <c r="B28" s="13" t="s">
        <v>62</v>
      </c>
      <c r="C28" s="40" t="n">
        <f aca="false">IF(AND(C$3&gt;=in_PayrollValStart,C$3&lt;=in_PayrollValEnd),in_PayrollValAmt/(in_PayrollValEnd-in_PayrollValStart+1),0)</f>
        <v>0</v>
      </c>
      <c r="D28" s="40" t="n">
        <f aca="false">IF(AND(D$3&gt;=in_PayrollValStart,D$3&lt;=in_PayrollValEnd),in_PayrollValAmt/(in_PayrollValEnd-in_PayrollValStart+1),0)</f>
        <v>2000</v>
      </c>
      <c r="E28" s="40" t="n">
        <f aca="false">IF(AND(E$3&gt;=in_PayrollValStart,E$3&lt;=in_PayrollValEnd),in_PayrollValAmt/(in_PayrollValEnd-in_PayrollValStart+1),0)</f>
        <v>2000</v>
      </c>
      <c r="F28" s="40" t="n">
        <f aca="false">IF(AND(F$3&gt;=in_PayrollValStart,F$3&lt;=in_PayrollValEnd),in_PayrollValAmt/(in_PayrollValEnd-in_PayrollValStart+1),0)</f>
        <v>2000</v>
      </c>
      <c r="G28" s="40" t="n">
        <f aca="false">IF(AND(G$3&gt;=in_PayrollValStart,G$3&lt;=in_PayrollValEnd),in_PayrollValAmt/(in_PayrollValEnd-in_PayrollValStart+1),0)</f>
        <v>2000</v>
      </c>
      <c r="H28" s="40" t="n">
        <f aca="false">IF(AND(H$3&gt;=in_PayrollValStart,H$3&lt;=in_PayrollValEnd),in_PayrollValAmt/(in_PayrollValEnd-in_PayrollValStart+1),0)</f>
        <v>0</v>
      </c>
      <c r="I28" s="40" t="n">
        <f aca="false">IF(AND(I$3&gt;=in_PayrollValStart,I$3&lt;=in_PayrollValEnd),in_PayrollValAmt/(in_PayrollValEnd-in_PayrollValStart+1),0)</f>
        <v>0</v>
      </c>
      <c r="J28" s="40" t="n">
        <f aca="false">IF(AND(J$3&gt;=in_PayrollValStart,J$3&lt;=in_PayrollValEnd),in_PayrollValAmt/(in_PayrollValEnd-in_PayrollValStart+1),0)</f>
        <v>0</v>
      </c>
      <c r="K28" s="40" t="n">
        <f aca="false">IF(AND(K$3&gt;=in_PayrollValStart,K$3&lt;=in_PayrollValEnd),in_PayrollValAmt/(in_PayrollValEnd-in_PayrollValStart+1),0)</f>
        <v>0</v>
      </c>
      <c r="L28" s="40" t="n">
        <f aca="false">IF(AND(L$3&gt;=in_PayrollValStart,L$3&lt;=in_PayrollValEnd),in_PayrollValAmt/(in_PayrollValEnd-in_PayrollValStart+1),0)</f>
        <v>0</v>
      </c>
      <c r="M28" s="40" t="n">
        <f aca="false">IF(AND(M$3&gt;=in_PayrollValStart,M$3&lt;=in_PayrollValEnd),in_PayrollValAmt/(in_PayrollValEnd-in_PayrollValStart+1),0)</f>
        <v>0</v>
      </c>
      <c r="N28" s="40" t="n">
        <f aca="false">IF(AND(N$3&gt;=in_PayrollValStart,N$3&lt;=in_PayrollValEnd),in_PayrollValAmt/(in_PayrollValEnd-in_PayrollValStart+1),0)</f>
        <v>0</v>
      </c>
      <c r="O28" s="40" t="n">
        <f aca="false">IF(AND(O$3&gt;=in_PayrollValStart,O$3&lt;=in_PayrollValEnd),in_PayrollValAmt/(in_PayrollValEnd-in_PayrollValStart+1),0)</f>
        <v>0</v>
      </c>
      <c r="P28" s="40" t="n">
        <f aca="false">IF(AND(P$3&gt;=in_PayrollValStart,P$3&lt;=in_PayrollValEnd),in_PayrollValAmt/(in_PayrollValEnd-in_PayrollValStart+1),0)</f>
        <v>0</v>
      </c>
      <c r="Q28" s="40" t="n">
        <f aca="false">IF(AND(Q$3&gt;=in_PayrollValStart,Q$3&lt;=in_PayrollValEnd),in_PayrollValAmt/(in_PayrollValEnd-in_PayrollValStart+1),0)</f>
        <v>0</v>
      </c>
      <c r="R28" s="40" t="n">
        <f aca="false">IF(AND(R$3&gt;=in_PayrollValStart,R$3&lt;=in_PayrollValEnd),in_PayrollValAmt/(in_PayrollValEnd-in_PayrollValStart+1),0)</f>
        <v>0</v>
      </c>
      <c r="S28" s="40" t="n">
        <f aca="false">IF(AND(S$3&gt;=in_PayrollValStart,S$3&lt;=in_PayrollValEnd),in_PayrollValAmt/(in_PayrollValEnd-in_PayrollValStart+1),0)</f>
        <v>0</v>
      </c>
      <c r="T28" s="40" t="n">
        <f aca="false">IF(AND(T$3&gt;=in_PayrollValStart,T$3&lt;=in_PayrollValEnd),in_PayrollValAmt/(in_PayrollValEnd-in_PayrollValStart+1),0)</f>
        <v>0</v>
      </c>
      <c r="U28" s="40" t="n">
        <f aca="false">IF(AND(U$3&gt;=in_PayrollValStart,U$3&lt;=in_PayrollValEnd),in_PayrollValAmt/(in_PayrollValEnd-in_PayrollValStart+1),0)</f>
        <v>0</v>
      </c>
      <c r="V28" s="40" t="n">
        <f aca="false">IF(AND(V$3&gt;=in_PayrollValStart,V$3&lt;=in_PayrollValEnd),in_PayrollValAmt/(in_PayrollValEnd-in_PayrollValStart+1),0)</f>
        <v>0</v>
      </c>
      <c r="W28" s="40" t="n">
        <f aca="false">IF(AND(W$3&gt;=in_PayrollValStart,W$3&lt;=in_PayrollValEnd),in_PayrollValAmt/(in_PayrollValEnd-in_PayrollValStart+1),0)</f>
        <v>0</v>
      </c>
      <c r="X28" s="40" t="n">
        <f aca="false">IF(AND(X$3&gt;=in_PayrollValStart,X$3&lt;=in_PayrollValEnd),in_PayrollValAmt/(in_PayrollValEnd-in_PayrollValStart+1),0)</f>
        <v>0</v>
      </c>
      <c r="Y28" s="40" t="n">
        <f aca="false">IF(AND(Y$3&gt;=in_PayrollValStart,Y$3&lt;=in_PayrollValEnd),in_PayrollValAmt/(in_PayrollValEnd-in_PayrollValStart+1),0)</f>
        <v>0</v>
      </c>
      <c r="Z28" s="40" t="n">
        <f aca="false">IF(AND(Z$3&gt;=in_PayrollValStart,Z$3&lt;=in_PayrollValEnd),in_PayrollValAmt/(in_PayrollValEnd-in_PayrollValStart+1),0)</f>
        <v>0</v>
      </c>
      <c r="AA28" s="40" t="n">
        <f aca="false">IF(AND(AA$3&gt;=in_PayrollValStart,AA$3&lt;=in_PayrollValEnd),in_PayrollValAmt/(in_PayrollValEnd-in_PayrollValStart+1),0)</f>
        <v>0</v>
      </c>
      <c r="AB28" s="40" t="n">
        <f aca="false">IF(AND(AB$3&gt;=in_PayrollValStart,AB$3&lt;=in_PayrollValEnd),in_PayrollValAmt/(in_PayrollValEnd-in_PayrollValStart+1),0)</f>
        <v>0</v>
      </c>
      <c r="AC28" s="40" t="n">
        <f aca="false">IF(AND(AC$3&gt;=in_PayrollValStart,AC$3&lt;=in_PayrollValEnd),in_PayrollValAmt/(in_PayrollValEnd-in_PayrollValStart+1),0)</f>
        <v>0</v>
      </c>
      <c r="AD28" s="40" t="n">
        <f aca="false">IF(AND(AD$3&gt;=in_PayrollValStart,AD$3&lt;=in_PayrollValEnd),in_PayrollValAmt/(in_PayrollValEnd-in_PayrollValStart+1),0)</f>
        <v>0</v>
      </c>
      <c r="AE28" s="40" t="n">
        <f aca="false">IF(AND(AE$3&gt;=in_PayrollValStart,AE$3&lt;=in_PayrollValEnd),in_PayrollValAmt/(in_PayrollValEnd-in_PayrollValStart+1),0)</f>
        <v>0</v>
      </c>
      <c r="AF28" s="40" t="n">
        <f aca="false">IF(AND(AF$3&gt;=in_PayrollValStart,AF$3&lt;=in_PayrollValEnd),in_PayrollValAmt/(in_PayrollValEnd-in_PayrollValStart+1),0)</f>
        <v>0</v>
      </c>
      <c r="AG28" s="40" t="n">
        <f aca="false">IF(AND(AG$3&gt;=in_PayrollValStart,AG$3&lt;=in_PayrollValEnd),in_PayrollValAmt/(in_PayrollValEnd-in_PayrollValStart+1),0)</f>
        <v>0</v>
      </c>
      <c r="AH28" s="40" t="n">
        <f aca="false">IF(AND(AH$3&gt;=in_PayrollValStart,AH$3&lt;=in_PayrollValEnd),in_PayrollValAmt/(in_PayrollValEnd-in_PayrollValStart+1),0)</f>
        <v>0</v>
      </c>
      <c r="AI28" s="40" t="n">
        <f aca="false">IF(AND(AI$3&gt;=in_PayrollValStart,AI$3&lt;=in_PayrollValEnd),in_PayrollValAmt/(in_PayrollValEnd-in_PayrollValStart+1),0)</f>
        <v>0</v>
      </c>
      <c r="AJ28" s="40" t="n">
        <f aca="false">IF(AND(AJ$3&gt;=in_PayrollValStart,AJ$3&lt;=in_PayrollValEnd),in_PayrollValAmt/(in_PayrollValEnd-in_PayrollValStart+1),0)</f>
        <v>0</v>
      </c>
      <c r="AK28" s="40" t="n">
        <f aca="false">IF(AND(AK$3&gt;=in_PayrollValStart,AK$3&lt;=in_PayrollValEnd),in_PayrollValAmt/(in_PayrollValEnd-in_PayrollValStart+1),0)</f>
        <v>0</v>
      </c>
      <c r="AL28" s="40" t="n">
        <f aca="false">IF(AND(AL$3&gt;=in_PayrollValStart,AL$3&lt;=in_PayrollValEnd),in_PayrollValAmt/(in_PayrollValEnd-in_PayrollValStart+1),0)</f>
        <v>0</v>
      </c>
    </row>
    <row r="29" customFormat="false" ht="15" hidden="false" customHeight="false" outlineLevel="0" collapsed="false">
      <c r="A29" s="1" t="s">
        <v>266</v>
      </c>
      <c r="B29" s="13" t="s">
        <v>62</v>
      </c>
      <c r="C29" s="40" t="n">
        <f aca="false">IF(AND(C$3&gt;=in_A11yStart,C$3&lt;=in_A11yEnd),in_A11yAmt/(in_A11yEnd-in_A11yStart+1),0)</f>
        <v>0</v>
      </c>
      <c r="D29" s="40" t="n">
        <f aca="false">IF(AND(D$3&gt;=in_A11yStart,D$3&lt;=in_A11yEnd),in_A11yAmt/(in_A11yEnd-in_A11yStart+1),0)</f>
        <v>0</v>
      </c>
      <c r="E29" s="40" t="n">
        <f aca="false">IF(AND(E$3&gt;=in_A11yStart,E$3&lt;=in_A11yEnd),in_A11yAmt/(in_A11yEnd-in_A11yStart+1),0)</f>
        <v>0</v>
      </c>
      <c r="F29" s="40" t="n">
        <f aca="false">IF(AND(F$3&gt;=in_A11yStart,F$3&lt;=in_A11yEnd),in_A11yAmt/(in_A11yEnd-in_A11yStart+1),0)</f>
        <v>0</v>
      </c>
      <c r="G29" s="40" t="n">
        <f aca="false">IF(AND(G$3&gt;=in_A11yStart,G$3&lt;=in_A11yEnd),in_A11yAmt/(in_A11yEnd-in_A11yStart+1),0)</f>
        <v>1500</v>
      </c>
      <c r="H29" s="40" t="n">
        <f aca="false">IF(AND(H$3&gt;=in_A11yStart,H$3&lt;=in_A11yEnd),in_A11yAmt/(in_A11yEnd-in_A11yStart+1),0)</f>
        <v>1500</v>
      </c>
      <c r="I29" s="40" t="n">
        <f aca="false">IF(AND(I$3&gt;=in_A11yStart,I$3&lt;=in_A11yEnd),in_A11yAmt/(in_A11yEnd-in_A11yStart+1),0)</f>
        <v>0</v>
      </c>
      <c r="J29" s="40" t="n">
        <f aca="false">IF(AND(J$3&gt;=in_A11yStart,J$3&lt;=in_A11yEnd),in_A11yAmt/(in_A11yEnd-in_A11yStart+1),0)</f>
        <v>0</v>
      </c>
      <c r="K29" s="40" t="n">
        <f aca="false">IF(AND(K$3&gt;=in_A11yStart,K$3&lt;=in_A11yEnd),in_A11yAmt/(in_A11yEnd-in_A11yStart+1),0)</f>
        <v>0</v>
      </c>
      <c r="L29" s="40" t="n">
        <f aca="false">IF(AND(L$3&gt;=in_A11yStart,L$3&lt;=in_A11yEnd),in_A11yAmt/(in_A11yEnd-in_A11yStart+1),0)</f>
        <v>0</v>
      </c>
      <c r="M29" s="40" t="n">
        <f aca="false">IF(AND(M$3&gt;=in_A11yStart,M$3&lt;=in_A11yEnd),in_A11yAmt/(in_A11yEnd-in_A11yStart+1),0)</f>
        <v>0</v>
      </c>
      <c r="N29" s="40" t="n">
        <f aca="false">IF(AND(N$3&gt;=in_A11yStart,N$3&lt;=in_A11yEnd),in_A11yAmt/(in_A11yEnd-in_A11yStart+1),0)</f>
        <v>0</v>
      </c>
      <c r="O29" s="40" t="n">
        <f aca="false">IF(AND(O$3&gt;=in_A11yStart,O$3&lt;=in_A11yEnd),in_A11yAmt/(in_A11yEnd-in_A11yStart+1),0)</f>
        <v>0</v>
      </c>
      <c r="P29" s="40" t="n">
        <f aca="false">IF(AND(P$3&gt;=in_A11yStart,P$3&lt;=in_A11yEnd),in_A11yAmt/(in_A11yEnd-in_A11yStart+1),0)</f>
        <v>0</v>
      </c>
      <c r="Q29" s="40" t="n">
        <f aca="false">IF(AND(Q$3&gt;=in_A11yStart,Q$3&lt;=in_A11yEnd),in_A11yAmt/(in_A11yEnd-in_A11yStart+1),0)</f>
        <v>0</v>
      </c>
      <c r="R29" s="40" t="n">
        <f aca="false">IF(AND(R$3&gt;=in_A11yStart,R$3&lt;=in_A11yEnd),in_A11yAmt/(in_A11yEnd-in_A11yStart+1),0)</f>
        <v>0</v>
      </c>
      <c r="S29" s="40" t="n">
        <f aca="false">IF(AND(S$3&gt;=in_A11yStart,S$3&lt;=in_A11yEnd),in_A11yAmt/(in_A11yEnd-in_A11yStart+1),0)</f>
        <v>0</v>
      </c>
      <c r="T29" s="40" t="n">
        <f aca="false">IF(AND(T$3&gt;=in_A11yStart,T$3&lt;=in_A11yEnd),in_A11yAmt/(in_A11yEnd-in_A11yStart+1),0)</f>
        <v>0</v>
      </c>
      <c r="U29" s="40" t="n">
        <f aca="false">IF(AND(U$3&gt;=in_A11yStart,U$3&lt;=in_A11yEnd),in_A11yAmt/(in_A11yEnd-in_A11yStart+1),0)</f>
        <v>0</v>
      </c>
      <c r="V29" s="40" t="n">
        <f aca="false">IF(AND(V$3&gt;=in_A11yStart,V$3&lt;=in_A11yEnd),in_A11yAmt/(in_A11yEnd-in_A11yStart+1),0)</f>
        <v>0</v>
      </c>
      <c r="W29" s="40" t="n">
        <f aca="false">IF(AND(W$3&gt;=in_A11yStart,W$3&lt;=in_A11yEnd),in_A11yAmt/(in_A11yEnd-in_A11yStart+1),0)</f>
        <v>0</v>
      </c>
      <c r="X29" s="40" t="n">
        <f aca="false">IF(AND(X$3&gt;=in_A11yStart,X$3&lt;=in_A11yEnd),in_A11yAmt/(in_A11yEnd-in_A11yStart+1),0)</f>
        <v>0</v>
      </c>
      <c r="Y29" s="40" t="n">
        <f aca="false">IF(AND(Y$3&gt;=in_A11yStart,Y$3&lt;=in_A11yEnd),in_A11yAmt/(in_A11yEnd-in_A11yStart+1),0)</f>
        <v>0</v>
      </c>
      <c r="Z29" s="40" t="n">
        <f aca="false">IF(AND(Z$3&gt;=in_A11yStart,Z$3&lt;=in_A11yEnd),in_A11yAmt/(in_A11yEnd-in_A11yStart+1),0)</f>
        <v>0</v>
      </c>
      <c r="AA29" s="40" t="n">
        <f aca="false">IF(AND(AA$3&gt;=in_A11yStart,AA$3&lt;=in_A11yEnd),in_A11yAmt/(in_A11yEnd-in_A11yStart+1),0)</f>
        <v>0</v>
      </c>
      <c r="AB29" s="40" t="n">
        <f aca="false">IF(AND(AB$3&gt;=in_A11yStart,AB$3&lt;=in_A11yEnd),in_A11yAmt/(in_A11yEnd-in_A11yStart+1),0)</f>
        <v>0</v>
      </c>
      <c r="AC29" s="40" t="n">
        <f aca="false">IF(AND(AC$3&gt;=in_A11yStart,AC$3&lt;=in_A11yEnd),in_A11yAmt/(in_A11yEnd-in_A11yStart+1),0)</f>
        <v>0</v>
      </c>
      <c r="AD29" s="40" t="n">
        <f aca="false">IF(AND(AD$3&gt;=in_A11yStart,AD$3&lt;=in_A11yEnd),in_A11yAmt/(in_A11yEnd-in_A11yStart+1),0)</f>
        <v>0</v>
      </c>
      <c r="AE29" s="40" t="n">
        <f aca="false">IF(AND(AE$3&gt;=in_A11yStart,AE$3&lt;=in_A11yEnd),in_A11yAmt/(in_A11yEnd-in_A11yStart+1),0)</f>
        <v>0</v>
      </c>
      <c r="AF29" s="40" t="n">
        <f aca="false">IF(AND(AF$3&gt;=in_A11yStart,AF$3&lt;=in_A11yEnd),in_A11yAmt/(in_A11yEnd-in_A11yStart+1),0)</f>
        <v>0</v>
      </c>
      <c r="AG29" s="40" t="n">
        <f aca="false">IF(AND(AG$3&gt;=in_A11yStart,AG$3&lt;=in_A11yEnd),in_A11yAmt/(in_A11yEnd-in_A11yStart+1),0)</f>
        <v>0</v>
      </c>
      <c r="AH29" s="40" t="n">
        <f aca="false">IF(AND(AH$3&gt;=in_A11yStart,AH$3&lt;=in_A11yEnd),in_A11yAmt/(in_A11yEnd-in_A11yStart+1),0)</f>
        <v>0</v>
      </c>
      <c r="AI29" s="40" t="n">
        <f aca="false">IF(AND(AI$3&gt;=in_A11yStart,AI$3&lt;=in_A11yEnd),in_A11yAmt/(in_A11yEnd-in_A11yStart+1),0)</f>
        <v>0</v>
      </c>
      <c r="AJ29" s="40" t="n">
        <f aca="false">IF(AND(AJ$3&gt;=in_A11yStart,AJ$3&lt;=in_A11yEnd),in_A11yAmt/(in_A11yEnd-in_A11yStart+1),0)</f>
        <v>0</v>
      </c>
      <c r="AK29" s="40" t="n">
        <f aca="false">IF(AND(AK$3&gt;=in_A11yStart,AK$3&lt;=in_A11yEnd),in_A11yAmt/(in_A11yEnd-in_A11yStart+1),0)</f>
        <v>0</v>
      </c>
      <c r="AL29" s="40" t="n">
        <f aca="false">IF(AND(AL$3&gt;=in_A11yStart,AL$3&lt;=in_A11yEnd),in_A11yAmt/(in_A11yEnd-in_A11yStart+1),0)</f>
        <v>0</v>
      </c>
    </row>
    <row r="30" customFormat="false" ht="15" hidden="false" customHeight="false" outlineLevel="0" collapsed="false">
      <c r="A30" s="1" t="s">
        <v>267</v>
      </c>
      <c r="B30" s="13" t="s">
        <v>62</v>
      </c>
      <c r="C30" s="40" t="n">
        <f aca="false">IF(AND(C$3&gt;=in_PentestStart,C$3&lt;=in_PentestEnd),in_PentestAmt/(in_PentestEnd-in_PentestStart+1),0)</f>
        <v>0</v>
      </c>
      <c r="D30" s="40" t="n">
        <f aca="false">IF(AND(D$3&gt;=in_PentestStart,D$3&lt;=in_PentestEnd),in_PentestAmt/(in_PentestEnd-in_PentestStart+1),0)</f>
        <v>0</v>
      </c>
      <c r="E30" s="40" t="n">
        <f aca="false">IF(AND(E$3&gt;=in_PentestStart,E$3&lt;=in_PentestEnd),in_PentestAmt/(in_PentestEnd-in_PentestStart+1),0)</f>
        <v>0</v>
      </c>
      <c r="F30" s="40" t="n">
        <f aca="false">IF(AND(F$3&gt;=in_PentestStart,F$3&lt;=in_PentestEnd),in_PentestAmt/(in_PentestEnd-in_PentestStart+1),0)</f>
        <v>0</v>
      </c>
      <c r="G30" s="40" t="n">
        <f aca="false">IF(AND(G$3&gt;=in_PentestStart,G$3&lt;=in_PentestEnd),in_PentestAmt/(in_PentestEnd-in_PentestStart+1),0)</f>
        <v>0</v>
      </c>
      <c r="H30" s="40" t="n">
        <f aca="false">IF(AND(H$3&gt;=in_PentestStart,H$3&lt;=in_PentestEnd),in_PentestAmt/(in_PentestEnd-in_PentestStart+1),0)</f>
        <v>0</v>
      </c>
      <c r="I30" s="40" t="n">
        <f aca="false">IF(AND(I$3&gt;=in_PentestStart,I$3&lt;=in_PentestEnd),in_PentestAmt/(in_PentestEnd-in_PentestStart+1),0)</f>
        <v>0</v>
      </c>
      <c r="J30" s="40" t="n">
        <f aca="false">IF(AND(J$3&gt;=in_PentestStart,J$3&lt;=in_PentestEnd),in_PentestAmt/(in_PentestEnd-in_PentestStart+1),0)</f>
        <v>0</v>
      </c>
      <c r="K30" s="40" t="n">
        <f aca="false">IF(AND(K$3&gt;=in_PentestStart,K$3&lt;=in_PentestEnd),in_PentestAmt/(in_PentestEnd-in_PentestStart+1),0)</f>
        <v>0</v>
      </c>
      <c r="L30" s="40" t="n">
        <f aca="false">IF(AND(L$3&gt;=in_PentestStart,L$3&lt;=in_PentestEnd),in_PentestAmt/(in_PentestEnd-in_PentestStart+1),0)</f>
        <v>0</v>
      </c>
      <c r="M30" s="40" t="n">
        <f aca="false">IF(AND(M$3&gt;=in_PentestStart,M$3&lt;=in_PentestEnd),in_PentestAmt/(in_PentestEnd-in_PentestStart+1),0)</f>
        <v>0</v>
      </c>
      <c r="N30" s="40" t="n">
        <f aca="false">IF(AND(N$3&gt;=in_PentestStart,N$3&lt;=in_PentestEnd),in_PentestAmt/(in_PentestEnd-in_PentestStart+1),0)</f>
        <v>6000</v>
      </c>
      <c r="O30" s="40" t="n">
        <f aca="false">IF(AND(O$3&gt;=in_PentestStart,O$3&lt;=in_PentestEnd),in_PentestAmt/(in_PentestEnd-in_PentestStart+1),0)</f>
        <v>0</v>
      </c>
      <c r="P30" s="40" t="n">
        <f aca="false">IF(AND(P$3&gt;=in_PentestStart,P$3&lt;=in_PentestEnd),in_PentestAmt/(in_PentestEnd-in_PentestStart+1),0)</f>
        <v>0</v>
      </c>
      <c r="Q30" s="40" t="n">
        <f aca="false">IF(AND(Q$3&gt;=in_PentestStart,Q$3&lt;=in_PentestEnd),in_PentestAmt/(in_PentestEnd-in_PentestStart+1),0)</f>
        <v>0</v>
      </c>
      <c r="R30" s="40" t="n">
        <f aca="false">IF(AND(R$3&gt;=in_PentestStart,R$3&lt;=in_PentestEnd),in_PentestAmt/(in_PentestEnd-in_PentestStart+1),0)</f>
        <v>0</v>
      </c>
      <c r="S30" s="40" t="n">
        <f aca="false">IF(AND(S$3&gt;=in_PentestStart,S$3&lt;=in_PentestEnd),in_PentestAmt/(in_PentestEnd-in_PentestStart+1),0)</f>
        <v>0</v>
      </c>
      <c r="T30" s="40" t="n">
        <f aca="false">IF(AND(T$3&gt;=in_PentestStart,T$3&lt;=in_PentestEnd),in_PentestAmt/(in_PentestEnd-in_PentestStart+1),0)</f>
        <v>0</v>
      </c>
      <c r="U30" s="40" t="n">
        <f aca="false">IF(AND(U$3&gt;=in_PentestStart,U$3&lt;=in_PentestEnd),in_PentestAmt/(in_PentestEnd-in_PentestStart+1),0)</f>
        <v>0</v>
      </c>
      <c r="V30" s="40" t="n">
        <f aca="false">IF(AND(V$3&gt;=in_PentestStart,V$3&lt;=in_PentestEnd),in_PentestAmt/(in_PentestEnd-in_PentestStart+1),0)</f>
        <v>0</v>
      </c>
      <c r="W30" s="40" t="n">
        <f aca="false">IF(AND(W$3&gt;=in_PentestStart,W$3&lt;=in_PentestEnd),in_PentestAmt/(in_PentestEnd-in_PentestStart+1),0)</f>
        <v>0</v>
      </c>
      <c r="X30" s="40" t="n">
        <f aca="false">IF(AND(X$3&gt;=in_PentestStart,X$3&lt;=in_PentestEnd),in_PentestAmt/(in_PentestEnd-in_PentestStart+1),0)</f>
        <v>0</v>
      </c>
      <c r="Y30" s="40" t="n">
        <f aca="false">IF(AND(Y$3&gt;=in_PentestStart,Y$3&lt;=in_PentestEnd),in_PentestAmt/(in_PentestEnd-in_PentestStart+1),0)</f>
        <v>0</v>
      </c>
      <c r="Z30" s="40" t="n">
        <f aca="false">IF(AND(Z$3&gt;=in_PentestStart,Z$3&lt;=in_PentestEnd),in_PentestAmt/(in_PentestEnd-in_PentestStart+1),0)</f>
        <v>0</v>
      </c>
      <c r="AA30" s="40" t="n">
        <f aca="false">IF(AND(AA$3&gt;=in_PentestStart,AA$3&lt;=in_PentestEnd),in_PentestAmt/(in_PentestEnd-in_PentestStart+1),0)</f>
        <v>0</v>
      </c>
      <c r="AB30" s="40" t="n">
        <f aca="false">IF(AND(AB$3&gt;=in_PentestStart,AB$3&lt;=in_PentestEnd),in_PentestAmt/(in_PentestEnd-in_PentestStart+1),0)</f>
        <v>0</v>
      </c>
      <c r="AC30" s="40" t="n">
        <f aca="false">IF(AND(AC$3&gt;=in_PentestStart,AC$3&lt;=in_PentestEnd),in_PentestAmt/(in_PentestEnd-in_PentestStart+1),0)</f>
        <v>0</v>
      </c>
      <c r="AD30" s="40" t="n">
        <f aca="false">IF(AND(AD$3&gt;=in_PentestStart,AD$3&lt;=in_PentestEnd),in_PentestAmt/(in_PentestEnd-in_PentestStart+1),0)</f>
        <v>0</v>
      </c>
      <c r="AE30" s="40" t="n">
        <f aca="false">IF(AND(AE$3&gt;=in_PentestStart,AE$3&lt;=in_PentestEnd),in_PentestAmt/(in_PentestEnd-in_PentestStart+1),0)</f>
        <v>0</v>
      </c>
      <c r="AF30" s="40" t="n">
        <f aca="false">IF(AND(AF$3&gt;=in_PentestStart,AF$3&lt;=in_PentestEnd),in_PentestAmt/(in_PentestEnd-in_PentestStart+1),0)</f>
        <v>0</v>
      </c>
      <c r="AG30" s="40" t="n">
        <f aca="false">IF(AND(AG$3&gt;=in_PentestStart,AG$3&lt;=in_PentestEnd),in_PentestAmt/(in_PentestEnd-in_PentestStart+1),0)</f>
        <v>0</v>
      </c>
      <c r="AH30" s="40" t="n">
        <f aca="false">IF(AND(AH$3&gt;=in_PentestStart,AH$3&lt;=in_PentestEnd),in_PentestAmt/(in_PentestEnd-in_PentestStart+1),0)</f>
        <v>0</v>
      </c>
      <c r="AI30" s="40" t="n">
        <f aca="false">IF(AND(AI$3&gt;=in_PentestStart,AI$3&lt;=in_PentestEnd),in_PentestAmt/(in_PentestEnd-in_PentestStart+1),0)</f>
        <v>0</v>
      </c>
      <c r="AJ30" s="40" t="n">
        <f aca="false">IF(AND(AJ$3&gt;=in_PentestStart,AJ$3&lt;=in_PentestEnd),in_PentestAmt/(in_PentestEnd-in_PentestStart+1),0)</f>
        <v>0</v>
      </c>
      <c r="AK30" s="40" t="n">
        <f aca="false">IF(AND(AK$3&gt;=in_PentestStart,AK$3&lt;=in_PentestEnd),in_PentestAmt/(in_PentestEnd-in_PentestStart+1),0)</f>
        <v>0</v>
      </c>
      <c r="AL30" s="40" t="n">
        <f aca="false">IF(AND(AL$3&gt;=in_PentestStart,AL$3&lt;=in_PentestEnd),in_PentestAmt/(in_PentestEnd-in_PentestStart+1),0)</f>
        <v>0</v>
      </c>
    </row>
    <row r="31" customFormat="false" ht="15" hidden="false" customHeight="false" outlineLevel="0" collapsed="false">
      <c r="A31" s="3" t="s">
        <v>268</v>
      </c>
      <c r="B31" s="13" t="s">
        <v>62</v>
      </c>
      <c r="C31" s="41" t="n">
        <f aca="false">SUM(C17:C30)</f>
        <v>5400</v>
      </c>
      <c r="D31" s="41" t="n">
        <f aca="false">SUM(D17:D30)</f>
        <v>7409.34825</v>
      </c>
      <c r="E31" s="41" t="n">
        <f aca="false">SUM(E17:E30)</f>
        <v>4918.4160525</v>
      </c>
      <c r="F31" s="41" t="n">
        <f aca="false">SUM(F17:F30)</f>
        <v>4999.043820925</v>
      </c>
      <c r="G31" s="41" t="n">
        <f aca="false">SUM(G17:G30)</f>
        <v>6507.13435629725</v>
      </c>
      <c r="H31" s="41" t="n">
        <f aca="false">SUM(H17:H30)</f>
        <v>4523.36257560833</v>
      </c>
      <c r="I31" s="41" t="n">
        <f aca="false">SUM(I17:I30)</f>
        <v>3040.50106834008</v>
      </c>
      <c r="J31" s="41" t="n">
        <f aca="false">SUM(J17:J30)</f>
        <v>3058.55108628988</v>
      </c>
      <c r="K31" s="41" t="n">
        <f aca="false">SUM(K17:K30)</f>
        <v>3077.51384370118</v>
      </c>
      <c r="L31" s="41" t="n">
        <f aca="false">SUM(L17:L30)</f>
        <v>3040.27051839015</v>
      </c>
      <c r="M31" s="41" t="n">
        <f aca="false">SUM(M17:M30)</f>
        <v>3061.06225283844</v>
      </c>
      <c r="N31" s="41" t="n">
        <f aca="false">SUM(N17:N30)</f>
        <v>9076.10615525329</v>
      </c>
      <c r="O31" s="41" t="n">
        <f aca="false">SUM(O17:O30)</f>
        <v>4096.83458620269</v>
      </c>
      <c r="P31" s="41" t="n">
        <f aca="false">SUM(P17:P30)</f>
        <v>4121.96139561661</v>
      </c>
      <c r="Q31" s="41" t="n">
        <f aca="false">SUM(Q17:Q30)</f>
        <v>4149.26340874811</v>
      </c>
      <c r="R31" s="41" t="n">
        <f aca="false">SUM(R17:R30)</f>
        <v>4178.73534548567</v>
      </c>
      <c r="S31" s="41" t="n">
        <f aca="false">SUM(S17:S30)</f>
        <v>4210.3720841211</v>
      </c>
      <c r="T31" s="41" t="n">
        <f aca="false">SUM(T17:T30)</f>
        <v>4244.16865659746</v>
      </c>
      <c r="U31" s="41" t="n">
        <f aca="false">SUM(U17:U30)</f>
        <v>4280.12024389954</v>
      </c>
      <c r="V31" s="41" t="n">
        <f aca="false">SUM(V17:V30)</f>
        <v>4318.22217158255</v>
      </c>
      <c r="W31" s="41" t="n">
        <f aca="false">SUM(W17:W30)</f>
        <v>4356.47070543508</v>
      </c>
      <c r="X31" s="41" t="n">
        <f aca="false">SUM(X17:X30)</f>
        <v>4394.86144727202</v>
      </c>
      <c r="Y31" s="41" t="n">
        <f aca="false">SUM(Y17:Y30)</f>
        <v>4433.39013085386</v>
      </c>
      <c r="Z31" s="41" t="n">
        <f aca="false">SUM(Z17:Z30)</f>
        <v>4472.05261792825</v>
      </c>
      <c r="AA31" s="41" t="n">
        <f aca="false">SUM(AA17:AA30)</f>
        <v>5530.34710987353</v>
      </c>
      <c r="AB31" s="41" t="n">
        <f aca="false">SUM(AB17:AB30)</f>
        <v>5580.46295152733</v>
      </c>
      <c r="AC31" s="41" t="n">
        <f aca="false">SUM(AC17:AC30)</f>
        <v>5631.7115031315</v>
      </c>
      <c r="AD31" s="41" t="n">
        <f aca="false">SUM(AD17:AD30)</f>
        <v>5684.09027078756</v>
      </c>
      <c r="AE31" s="41" t="n">
        <f aca="false">SUM(AE17:AE30)</f>
        <v>5737.59683541393</v>
      </c>
      <c r="AF31" s="41" t="n">
        <f aca="false">SUM(AF17:AF30)</f>
        <v>5792.22885050152</v>
      </c>
      <c r="AG31" s="41" t="n">
        <f aca="false">SUM(AG17:AG30)</f>
        <v>5847.98403993647</v>
      </c>
      <c r="AH31" s="41" t="n">
        <f aca="false">SUM(AH17:AH30)</f>
        <v>5904.86019588838</v>
      </c>
      <c r="AI31" s="41" t="n">
        <f aca="false">SUM(AI17:AI30)</f>
        <v>5961.80559676172</v>
      </c>
      <c r="AJ31" s="41" t="n">
        <f aca="false">SUM(AJ17:AJ30)</f>
        <v>6018.81816520887</v>
      </c>
      <c r="AK31" s="41" t="n">
        <f aca="false">SUM(AK17:AK30)</f>
        <v>6075.89588620261</v>
      </c>
      <c r="AL31" s="41" t="n">
        <f aca="false">SUM(AL17:AL30)</f>
        <v>6133.03680516653</v>
      </c>
    </row>
    <row r="32" customFormat="false" ht="15" hidden="false" customHeight="false" outlineLevel="0" collapsed="false">
      <c r="A32" s="1" t="s">
        <v>269</v>
      </c>
      <c r="B32" s="13" t="s">
        <v>62</v>
      </c>
      <c r="C32" s="40" t="n">
        <f aca="false">(C13+C31)*in_Contingency</f>
        <v>372.25</v>
      </c>
      <c r="D32" s="40" t="n">
        <f aca="false">(D13+D31)*in_Contingency</f>
        <v>472.7174125</v>
      </c>
      <c r="E32" s="40" t="n">
        <f aca="false">(E13+E31)*in_Contingency</f>
        <v>399.295802625</v>
      </c>
      <c r="F32" s="40" t="n">
        <f aca="false">(F13+F31)*in_Contingency</f>
        <v>403.32719104625</v>
      </c>
      <c r="G32" s="40" t="n">
        <f aca="false">(G13+G31)*in_Contingency</f>
        <v>478.731717814863</v>
      </c>
      <c r="H32" s="40" t="n">
        <f aca="false">(H13+H31)*in_Contingency</f>
        <v>379.543128780417</v>
      </c>
      <c r="I32" s="40" t="n">
        <f aca="false">(I13+I31)*in_Contingency</f>
        <v>341.187553417004</v>
      </c>
      <c r="J32" s="40" t="n">
        <f aca="false">(J13+J31)*in_Contingency</f>
        <v>342.090054314494</v>
      </c>
      <c r="K32" s="40" t="n">
        <f aca="false">(K13+K31)*in_Contingency</f>
        <v>343.038192185059</v>
      </c>
      <c r="L32" s="40" t="n">
        <f aca="false">(L13+L31)*in_Contingency</f>
        <v>341.176025919507</v>
      </c>
      <c r="M32" s="40" t="n">
        <f aca="false">(M13+M31)*in_Contingency</f>
        <v>342.215612641922</v>
      </c>
      <c r="N32" s="40" t="n">
        <f aca="false">(N13+N31)*in_Contingency</f>
        <v>642.967807762665</v>
      </c>
      <c r="O32" s="40" t="n">
        <f aca="false">(O13+O31)*in_Contingency</f>
        <v>457.143604310135</v>
      </c>
      <c r="P32" s="40" t="n">
        <f aca="false">(P13+P31)*in_Contingency</f>
        <v>458.399944780831</v>
      </c>
      <c r="Q32" s="40" t="n">
        <f aca="false">(Q13+Q31)*in_Contingency</f>
        <v>459.765045437406</v>
      </c>
      <c r="R32" s="40" t="n">
        <f aca="false">(R13+R31)*in_Contingency</f>
        <v>461.238642274283</v>
      </c>
      <c r="S32" s="40" t="n">
        <f aca="false">(S13+S31)*in_Contingency</f>
        <v>462.820479206055</v>
      </c>
      <c r="T32" s="40" t="n">
        <f aca="false">(T13+T31)*in_Contingency</f>
        <v>464.510307829873</v>
      </c>
      <c r="U32" s="40" t="n">
        <f aca="false">(U13+U31)*in_Contingency</f>
        <v>466.307887194977</v>
      </c>
      <c r="V32" s="40" t="n">
        <f aca="false">(V13+V31)*in_Contingency</f>
        <v>468.212983579128</v>
      </c>
      <c r="W32" s="40" t="n">
        <f aca="false">(W13+W31)*in_Contingency</f>
        <v>470.125410271754</v>
      </c>
      <c r="X32" s="40" t="n">
        <f aca="false">(X13+X31)*in_Contingency</f>
        <v>472.044947363601</v>
      </c>
      <c r="Y32" s="40" t="n">
        <f aca="false">(Y13+Y31)*in_Contingency</f>
        <v>473.971381542693</v>
      </c>
      <c r="Z32" s="40" t="n">
        <f aca="false">(Z13+Z31)*in_Contingency</f>
        <v>475.904505896412</v>
      </c>
      <c r="AA32" s="40" t="n">
        <f aca="false">(AA13+AA31)*in_Contingency</f>
        <v>721.803324243677</v>
      </c>
      <c r="AB32" s="40" t="n">
        <f aca="false">(AB13+AB31)*in_Contingency</f>
        <v>724.309116326366</v>
      </c>
      <c r="AC32" s="40" t="n">
        <f aca="false">(AC13+AC31)*in_Contingency</f>
        <v>726.871543906575</v>
      </c>
      <c r="AD32" s="40" t="n">
        <f aca="false">(AD13+AD31)*in_Contingency</f>
        <v>729.490482289378</v>
      </c>
      <c r="AE32" s="40" t="n">
        <f aca="false">(AE13+AE31)*in_Contingency</f>
        <v>732.165810520697</v>
      </c>
      <c r="AF32" s="40" t="n">
        <f aca="false">(AF13+AF31)*in_Contingency</f>
        <v>734.897411275076</v>
      </c>
      <c r="AG32" s="40" t="n">
        <f aca="false">(AG13+AG31)*in_Contingency</f>
        <v>737.685170746824</v>
      </c>
      <c r="AH32" s="40" t="n">
        <f aca="false">(AH13+AH31)*in_Contingency</f>
        <v>740.528978544419</v>
      </c>
      <c r="AI32" s="40" t="n">
        <f aca="false">(AI13+AI31)*in_Contingency</f>
        <v>743.376248588086</v>
      </c>
      <c r="AJ32" s="40" t="n">
        <f aca="false">(AJ13+AJ31)*in_Contingency</f>
        <v>746.226877010444</v>
      </c>
      <c r="AK32" s="40" t="n">
        <f aca="false">(AK13+AK31)*in_Contingency</f>
        <v>749.08076306013</v>
      </c>
      <c r="AL32" s="40" t="n">
        <f aca="false">(AL13+AL31)*in_Contingency</f>
        <v>751.937809008326</v>
      </c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customFormat="false" ht="15" hidden="false" customHeight="false" outlineLevel="0" collapsed="false">
      <c r="A34" s="3" t="s">
        <v>270</v>
      </c>
      <c r="B34" s="13" t="s">
        <v>62</v>
      </c>
      <c r="C34" s="41" t="n">
        <f aca="false">C13+C31+C32</f>
        <v>7817.25</v>
      </c>
      <c r="D34" s="41" t="n">
        <f aca="false">D13+D31+D32</f>
        <v>9927.0656625</v>
      </c>
      <c r="E34" s="41" t="n">
        <f aca="false">E13+E31+E32</f>
        <v>8385.211855125</v>
      </c>
      <c r="F34" s="41" t="n">
        <f aca="false">F13+F31+F32</f>
        <v>8469.87101197125</v>
      </c>
      <c r="G34" s="41" t="n">
        <f aca="false">G13+G31+G32</f>
        <v>10053.3660741121</v>
      </c>
      <c r="H34" s="41" t="n">
        <f aca="false">H13+H31+H32</f>
        <v>7970.40570438875</v>
      </c>
      <c r="I34" s="41" t="n">
        <f aca="false">I13+I31+I32</f>
        <v>7164.93862175709</v>
      </c>
      <c r="J34" s="41" t="n">
        <f aca="false">J13+J31+J32</f>
        <v>7183.89114060437</v>
      </c>
      <c r="K34" s="41" t="n">
        <f aca="false">K13+K31+K32</f>
        <v>7203.80203588624</v>
      </c>
      <c r="L34" s="41" t="n">
        <f aca="false">L13+L31+L32</f>
        <v>7164.69654430966</v>
      </c>
      <c r="M34" s="41" t="n">
        <f aca="false">M13+M31+M32</f>
        <v>7186.52786548037</v>
      </c>
      <c r="N34" s="41" t="n">
        <f aca="false">N13+N31+N32</f>
        <v>13502.323963016</v>
      </c>
      <c r="O34" s="41" t="n">
        <f aca="false">O13+O31+O32</f>
        <v>9600.01569051282</v>
      </c>
      <c r="P34" s="41" t="n">
        <f aca="false">P13+P31+P32</f>
        <v>9626.39884039744</v>
      </c>
      <c r="Q34" s="41" t="n">
        <f aca="false">Q13+Q31+Q32</f>
        <v>9655.06595418552</v>
      </c>
      <c r="R34" s="41" t="n">
        <f aca="false">R13+R31+R32</f>
        <v>9686.01148775995</v>
      </c>
      <c r="S34" s="41" t="n">
        <f aca="false">S13+S31+S32</f>
        <v>9719.23006332715</v>
      </c>
      <c r="T34" s="41" t="n">
        <f aca="false">T13+T31+T32</f>
        <v>9754.71646442734</v>
      </c>
      <c r="U34" s="41" t="n">
        <f aca="false">U13+U31+U32</f>
        <v>9792.46563109452</v>
      </c>
      <c r="V34" s="41" t="n">
        <f aca="false">V13+V31+V32</f>
        <v>9832.47265516168</v>
      </c>
      <c r="W34" s="41" t="n">
        <f aca="false">W13+W31+W32</f>
        <v>9872.63361570683</v>
      </c>
      <c r="X34" s="41" t="n">
        <f aca="false">X13+X31+X32</f>
        <v>9912.94389463563</v>
      </c>
      <c r="Y34" s="41" t="n">
        <f aca="false">Y13+Y31+Y32</f>
        <v>9953.39901239656</v>
      </c>
      <c r="Z34" s="41" t="n">
        <f aca="false">Z13+Z31+Z32</f>
        <v>9993.99462382466</v>
      </c>
      <c r="AA34" s="41" t="n">
        <f aca="false">AA13+AA31+AA32</f>
        <v>15157.8698091172</v>
      </c>
      <c r="AB34" s="41" t="n">
        <f aca="false">AB13+AB31+AB32</f>
        <v>15210.4914428537</v>
      </c>
      <c r="AC34" s="41" t="n">
        <f aca="false">AC13+AC31+AC32</f>
        <v>15264.3024220381</v>
      </c>
      <c r="AD34" s="41" t="n">
        <f aca="false">AD13+AD31+AD32</f>
        <v>15319.3001280769</v>
      </c>
      <c r="AE34" s="41" t="n">
        <f aca="false">AE13+AE31+AE32</f>
        <v>15375.4820209346</v>
      </c>
      <c r="AF34" s="41" t="n">
        <f aca="false">AF13+AF31+AF32</f>
        <v>15432.8456367766</v>
      </c>
      <c r="AG34" s="41" t="n">
        <f aca="false">AG13+AG31+AG32</f>
        <v>15491.3885856833</v>
      </c>
      <c r="AH34" s="41" t="n">
        <f aca="false">AH13+AH31+AH32</f>
        <v>15551.1085494328</v>
      </c>
      <c r="AI34" s="41" t="n">
        <f aca="false">AI13+AI31+AI32</f>
        <v>15610.9012203498</v>
      </c>
      <c r="AJ34" s="41" t="n">
        <f aca="false">AJ13+AJ31+AJ32</f>
        <v>15670.7644172193</v>
      </c>
      <c r="AK34" s="41" t="n">
        <f aca="false">AK13+AK31+AK32</f>
        <v>15730.6960242627</v>
      </c>
      <c r="AL34" s="41" t="n">
        <f aca="false">AL13+AL31+AL32</f>
        <v>15790.6939891749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8" min="3" style="0" width="11"/>
  </cols>
  <sheetData>
    <row r="1" customFormat="false" ht="15" hidden="false" customHeight="false" outlineLevel="0" collapsed="false">
      <c r="A1" s="2" t="s">
        <v>271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customFormat="false" ht="15" hidden="false" customHeight="false" outlineLevel="0" collapsed="false">
      <c r="A2" s="13" t="s">
        <v>272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customFormat="false" ht="15" hidden="false" customHeight="false" outlineLevel="0" collapsed="false">
      <c r="A3" s="15" t="s">
        <v>218</v>
      </c>
      <c r="B3" s="16"/>
      <c r="C3" s="43" t="n">
        <f aca="false">Revenue!C3</f>
        <v>1</v>
      </c>
      <c r="D3" s="43" t="n">
        <f aca="false">Revenue!D3</f>
        <v>2</v>
      </c>
      <c r="E3" s="43" t="n">
        <f aca="false">Revenue!E3</f>
        <v>3</v>
      </c>
      <c r="F3" s="43" t="n">
        <f aca="false">Revenue!F3</f>
        <v>4</v>
      </c>
      <c r="G3" s="43" t="n">
        <f aca="false">Revenue!G3</f>
        <v>5</v>
      </c>
      <c r="H3" s="43" t="n">
        <f aca="false">Revenue!H3</f>
        <v>6</v>
      </c>
      <c r="I3" s="43" t="n">
        <f aca="false">Revenue!I3</f>
        <v>7</v>
      </c>
      <c r="J3" s="43" t="n">
        <f aca="false">Revenue!J3</f>
        <v>8</v>
      </c>
      <c r="K3" s="43" t="n">
        <f aca="false">Revenue!K3</f>
        <v>9</v>
      </c>
      <c r="L3" s="43" t="n">
        <f aca="false">Revenue!L3</f>
        <v>10</v>
      </c>
      <c r="M3" s="43" t="n">
        <f aca="false">Revenue!M3</f>
        <v>11</v>
      </c>
      <c r="N3" s="43" t="n">
        <f aca="false">Revenue!N3</f>
        <v>12</v>
      </c>
      <c r="O3" s="43" t="n">
        <f aca="false">Revenue!O3</f>
        <v>13</v>
      </c>
      <c r="P3" s="43" t="n">
        <f aca="false">Revenue!P3</f>
        <v>14</v>
      </c>
      <c r="Q3" s="43" t="n">
        <f aca="false">Revenue!Q3</f>
        <v>15</v>
      </c>
      <c r="R3" s="43" t="n">
        <f aca="false">Revenue!R3</f>
        <v>16</v>
      </c>
      <c r="S3" s="43" t="n">
        <f aca="false">Revenue!S3</f>
        <v>17</v>
      </c>
      <c r="T3" s="43" t="n">
        <f aca="false">Revenue!T3</f>
        <v>18</v>
      </c>
      <c r="U3" s="43" t="n">
        <f aca="false">Revenue!U3</f>
        <v>19</v>
      </c>
      <c r="V3" s="43" t="n">
        <f aca="false">Revenue!V3</f>
        <v>20</v>
      </c>
      <c r="W3" s="43" t="n">
        <f aca="false">Revenue!W3</f>
        <v>21</v>
      </c>
      <c r="X3" s="43" t="n">
        <f aca="false">Revenue!X3</f>
        <v>22</v>
      </c>
      <c r="Y3" s="43" t="n">
        <f aca="false">Revenue!Y3</f>
        <v>23</v>
      </c>
      <c r="Z3" s="43" t="n">
        <f aca="false">Revenue!Z3</f>
        <v>24</v>
      </c>
      <c r="AA3" s="43" t="n">
        <f aca="false">Revenue!AA3</f>
        <v>25</v>
      </c>
      <c r="AB3" s="43" t="n">
        <f aca="false">Revenue!AB3</f>
        <v>26</v>
      </c>
      <c r="AC3" s="43" t="n">
        <f aca="false">Revenue!AC3</f>
        <v>27</v>
      </c>
      <c r="AD3" s="43" t="n">
        <f aca="false">Revenue!AD3</f>
        <v>28</v>
      </c>
      <c r="AE3" s="43" t="n">
        <f aca="false">Revenue!AE3</f>
        <v>29</v>
      </c>
      <c r="AF3" s="43" t="n">
        <f aca="false">Revenue!AF3</f>
        <v>30</v>
      </c>
      <c r="AG3" s="43" t="n">
        <f aca="false">Revenue!AG3</f>
        <v>31</v>
      </c>
      <c r="AH3" s="43" t="n">
        <f aca="false">Revenue!AH3</f>
        <v>32</v>
      </c>
      <c r="AI3" s="43" t="n">
        <f aca="false">Revenue!AI3</f>
        <v>33</v>
      </c>
      <c r="AJ3" s="43" t="n">
        <f aca="false">Revenue!AJ3</f>
        <v>34</v>
      </c>
      <c r="AK3" s="43" t="n">
        <f aca="false">Revenue!AK3</f>
        <v>35</v>
      </c>
      <c r="AL3" s="43" t="n">
        <f aca="false">Revenue!AL3</f>
        <v>36</v>
      </c>
    </row>
    <row r="4" customFormat="false" ht="15" hidden="false" customHeight="false" outlineLevel="0" collapsed="false">
      <c r="A4" s="15" t="s">
        <v>219</v>
      </c>
      <c r="B4" s="16"/>
      <c r="C4" s="44" t="n">
        <f aca="false">Revenue!C4</f>
        <v>46388</v>
      </c>
      <c r="D4" s="44" t="n">
        <f aca="false">Revenue!D4</f>
        <v>46419</v>
      </c>
      <c r="E4" s="44" t="n">
        <f aca="false">Revenue!E4</f>
        <v>46447</v>
      </c>
      <c r="F4" s="44" t="n">
        <f aca="false">Revenue!F4</f>
        <v>46478</v>
      </c>
      <c r="G4" s="44" t="n">
        <f aca="false">Revenue!G4</f>
        <v>46508</v>
      </c>
      <c r="H4" s="44" t="n">
        <f aca="false">Revenue!H4</f>
        <v>46539</v>
      </c>
      <c r="I4" s="44" t="n">
        <f aca="false">Revenue!I4</f>
        <v>46569</v>
      </c>
      <c r="J4" s="44" t="n">
        <f aca="false">Revenue!J4</f>
        <v>46600</v>
      </c>
      <c r="K4" s="44" t="n">
        <f aca="false">Revenue!K4</f>
        <v>46631</v>
      </c>
      <c r="L4" s="44" t="n">
        <f aca="false">Revenue!L4</f>
        <v>46661</v>
      </c>
      <c r="M4" s="44" t="n">
        <f aca="false">Revenue!M4</f>
        <v>46692</v>
      </c>
      <c r="N4" s="44" t="n">
        <f aca="false">Revenue!N4</f>
        <v>46722</v>
      </c>
      <c r="O4" s="44" t="n">
        <f aca="false">Revenue!O4</f>
        <v>46753</v>
      </c>
      <c r="P4" s="44" t="n">
        <f aca="false">Revenue!P4</f>
        <v>46784</v>
      </c>
      <c r="Q4" s="44" t="n">
        <f aca="false">Revenue!Q4</f>
        <v>46813</v>
      </c>
      <c r="R4" s="44" t="n">
        <f aca="false">Revenue!R4</f>
        <v>46844</v>
      </c>
      <c r="S4" s="44" t="n">
        <f aca="false">Revenue!S4</f>
        <v>46874</v>
      </c>
      <c r="T4" s="44" t="n">
        <f aca="false">Revenue!T4</f>
        <v>46905</v>
      </c>
      <c r="U4" s="44" t="n">
        <f aca="false">Revenue!U4</f>
        <v>46935</v>
      </c>
      <c r="V4" s="44" t="n">
        <f aca="false">Revenue!V4</f>
        <v>46966</v>
      </c>
      <c r="W4" s="44" t="n">
        <f aca="false">Revenue!W4</f>
        <v>46997</v>
      </c>
      <c r="X4" s="44" t="n">
        <f aca="false">Revenue!X4</f>
        <v>47027</v>
      </c>
      <c r="Y4" s="44" t="n">
        <f aca="false">Revenue!Y4</f>
        <v>47058</v>
      </c>
      <c r="Z4" s="44" t="n">
        <f aca="false">Revenue!Z4</f>
        <v>47088</v>
      </c>
      <c r="AA4" s="44" t="n">
        <f aca="false">Revenue!AA4</f>
        <v>47119</v>
      </c>
      <c r="AB4" s="44" t="n">
        <f aca="false">Revenue!AB4</f>
        <v>47150</v>
      </c>
      <c r="AC4" s="44" t="n">
        <f aca="false">Revenue!AC4</f>
        <v>47178</v>
      </c>
      <c r="AD4" s="44" t="n">
        <f aca="false">Revenue!AD4</f>
        <v>47209</v>
      </c>
      <c r="AE4" s="44" t="n">
        <f aca="false">Revenue!AE4</f>
        <v>47239</v>
      </c>
      <c r="AF4" s="44" t="n">
        <f aca="false">Revenue!AF4</f>
        <v>47270</v>
      </c>
      <c r="AG4" s="44" t="n">
        <f aca="false">Revenue!AG4</f>
        <v>47300</v>
      </c>
      <c r="AH4" s="44" t="n">
        <f aca="false">Revenue!AH4</f>
        <v>47331</v>
      </c>
      <c r="AI4" s="44" t="n">
        <f aca="false">Revenue!AI4</f>
        <v>47362</v>
      </c>
      <c r="AJ4" s="44" t="n">
        <f aca="false">Revenue!AJ4</f>
        <v>47392</v>
      </c>
      <c r="AK4" s="44" t="n">
        <f aca="false">Revenue!AK4</f>
        <v>47423</v>
      </c>
      <c r="AL4" s="44" t="n">
        <f aca="false">Revenue!AL4</f>
        <v>47453</v>
      </c>
    </row>
    <row r="5" customFormat="false" ht="15" hidden="false" customHeight="false" outlineLevel="0" collapsed="false">
      <c r="A5" s="15" t="s">
        <v>220</v>
      </c>
      <c r="B5" s="16"/>
      <c r="C5" s="43" t="n">
        <f aca="false">Revenue!C5</f>
        <v>1</v>
      </c>
      <c r="D5" s="43" t="n">
        <f aca="false">Revenue!D5</f>
        <v>1</v>
      </c>
      <c r="E5" s="43" t="n">
        <f aca="false">Revenue!E5</f>
        <v>1</v>
      </c>
      <c r="F5" s="43" t="n">
        <f aca="false">Revenue!F5</f>
        <v>1</v>
      </c>
      <c r="G5" s="43" t="n">
        <f aca="false">Revenue!G5</f>
        <v>1</v>
      </c>
      <c r="H5" s="43" t="n">
        <f aca="false">Revenue!H5</f>
        <v>1</v>
      </c>
      <c r="I5" s="43" t="n">
        <f aca="false">Revenue!I5</f>
        <v>1</v>
      </c>
      <c r="J5" s="43" t="n">
        <f aca="false">Revenue!J5</f>
        <v>1</v>
      </c>
      <c r="K5" s="43" t="n">
        <f aca="false">Revenue!K5</f>
        <v>1</v>
      </c>
      <c r="L5" s="43" t="n">
        <f aca="false">Revenue!L5</f>
        <v>1</v>
      </c>
      <c r="M5" s="43" t="n">
        <f aca="false">Revenue!M5</f>
        <v>1</v>
      </c>
      <c r="N5" s="43" t="n">
        <f aca="false">Revenue!N5</f>
        <v>1</v>
      </c>
      <c r="O5" s="43" t="n">
        <f aca="false">Revenue!O5</f>
        <v>2</v>
      </c>
      <c r="P5" s="43" t="n">
        <f aca="false">Revenue!P5</f>
        <v>2</v>
      </c>
      <c r="Q5" s="43" t="n">
        <f aca="false">Revenue!Q5</f>
        <v>2</v>
      </c>
      <c r="R5" s="43" t="n">
        <f aca="false">Revenue!R5</f>
        <v>2</v>
      </c>
      <c r="S5" s="43" t="n">
        <f aca="false">Revenue!S5</f>
        <v>2</v>
      </c>
      <c r="T5" s="43" t="n">
        <f aca="false">Revenue!T5</f>
        <v>2</v>
      </c>
      <c r="U5" s="43" t="n">
        <f aca="false">Revenue!U5</f>
        <v>2</v>
      </c>
      <c r="V5" s="43" t="n">
        <f aca="false">Revenue!V5</f>
        <v>2</v>
      </c>
      <c r="W5" s="43" t="n">
        <f aca="false">Revenue!W5</f>
        <v>2</v>
      </c>
      <c r="X5" s="43" t="n">
        <f aca="false">Revenue!X5</f>
        <v>2</v>
      </c>
      <c r="Y5" s="43" t="n">
        <f aca="false">Revenue!Y5</f>
        <v>2</v>
      </c>
      <c r="Z5" s="43" t="n">
        <f aca="false">Revenue!Z5</f>
        <v>2</v>
      </c>
      <c r="AA5" s="43" t="n">
        <f aca="false">Revenue!AA5</f>
        <v>3</v>
      </c>
      <c r="AB5" s="43" t="n">
        <f aca="false">Revenue!AB5</f>
        <v>3</v>
      </c>
      <c r="AC5" s="43" t="n">
        <f aca="false">Revenue!AC5</f>
        <v>3</v>
      </c>
      <c r="AD5" s="43" t="n">
        <f aca="false">Revenue!AD5</f>
        <v>3</v>
      </c>
      <c r="AE5" s="43" t="n">
        <f aca="false">Revenue!AE5</f>
        <v>3</v>
      </c>
      <c r="AF5" s="43" t="n">
        <f aca="false">Revenue!AF5</f>
        <v>3</v>
      </c>
      <c r="AG5" s="43" t="n">
        <f aca="false">Revenue!AG5</f>
        <v>3</v>
      </c>
      <c r="AH5" s="43" t="n">
        <f aca="false">Revenue!AH5</f>
        <v>3</v>
      </c>
      <c r="AI5" s="43" t="n">
        <f aca="false">Revenue!AI5</f>
        <v>3</v>
      </c>
      <c r="AJ5" s="43" t="n">
        <f aca="false">Revenue!AJ5</f>
        <v>3</v>
      </c>
      <c r="AK5" s="43" t="n">
        <f aca="false">Revenue!AK5</f>
        <v>3</v>
      </c>
      <c r="AL5" s="43" t="n">
        <f aca="false">Revenue!AL5</f>
        <v>3</v>
      </c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customFormat="false" ht="15" hidden="false" customHeight="false" outlineLevel="0" collapsed="false">
      <c r="A7" s="15" t="s">
        <v>273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</row>
    <row r="8" customFormat="false" ht="15" hidden="false" customHeight="false" outlineLevel="0" collapsed="false">
      <c r="A8" s="3" t="s">
        <v>235</v>
      </c>
      <c r="B8" s="13" t="s">
        <v>62</v>
      </c>
      <c r="C8" s="45" t="n">
        <f aca="false">Revenue!C28</f>
        <v>0</v>
      </c>
      <c r="D8" s="45" t="n">
        <f aca="false">Revenue!D28</f>
        <v>181.475</v>
      </c>
      <c r="E8" s="45" t="n">
        <f aca="false">Revenue!E28</f>
        <v>357.50575</v>
      </c>
      <c r="F8" s="45" t="n">
        <f aca="false">Revenue!F28</f>
        <v>813.8555775</v>
      </c>
      <c r="G8" s="45" t="n">
        <f aca="false">Revenue!G28</f>
        <v>970.914910175</v>
      </c>
      <c r="H8" s="45" t="n">
        <f aca="false">Revenue!H28</f>
        <v>1156.58246286975</v>
      </c>
      <c r="I8" s="45" t="n">
        <f aca="false">Revenue!I28</f>
        <v>1341.43998898366</v>
      </c>
      <c r="J8" s="45" t="n">
        <f aca="false">Revenue!J28</f>
        <v>1525.51178931415</v>
      </c>
      <c r="K8" s="45" t="n">
        <f aca="false">Revenue!K28</f>
        <v>1708.82143563472</v>
      </c>
      <c r="L8" s="45" t="n">
        <f aca="false">Revenue!L28</f>
        <v>1891.39179256568</v>
      </c>
      <c r="M8" s="45" t="n">
        <f aca="false">Revenue!M28</f>
        <v>2073.24503878871</v>
      </c>
      <c r="N8" s="45" t="n">
        <f aca="false">Revenue!N28</f>
        <v>2254.40268762505</v>
      </c>
      <c r="O8" s="45" t="n">
        <f aca="false">Revenue!O28</f>
        <v>2556.62988734611</v>
      </c>
      <c r="P8" s="45" t="n">
        <f aca="false">Revenue!P28</f>
        <v>2939.12224072573</v>
      </c>
      <c r="Q8" s="45" t="n">
        <f aca="false">Revenue!Q28</f>
        <v>3325.13382350396</v>
      </c>
      <c r="R8" s="45" t="n">
        <f aca="false">Revenue!R28</f>
        <v>3714.55905879884</v>
      </c>
      <c r="S8" s="45" t="n">
        <f aca="false">Revenue!S28</f>
        <v>4107.29553703488</v>
      </c>
      <c r="T8" s="45" t="n">
        <f aca="false">Revenue!T28</f>
        <v>4503.24392092383</v>
      </c>
      <c r="U8" s="45" t="n">
        <f aca="false">Revenue!U28</f>
        <v>4902.30785329611</v>
      </c>
      <c r="V8" s="45" t="n">
        <f aca="false">Revenue!V28</f>
        <v>5304.39386769723</v>
      </c>
      <c r="W8" s="45" t="n">
        <f aca="false">Revenue!W28</f>
        <v>5709.41130166631</v>
      </c>
      <c r="X8" s="45" t="n">
        <f aca="false">Revenue!X28</f>
        <v>6117.27221261632</v>
      </c>
      <c r="Y8" s="45" t="n">
        <f aca="false">Revenue!Y28</f>
        <v>6527.89129623784</v>
      </c>
      <c r="Z8" s="45" t="n">
        <f aca="false">Revenue!Z28</f>
        <v>6941.1858073507</v>
      </c>
      <c r="AA8" s="45" t="n">
        <f aca="false">Revenue!AA28</f>
        <v>7724.92925728669</v>
      </c>
      <c r="AB8" s="45" t="n">
        <f aca="false">Revenue!AB28</f>
        <v>8367.61271706809</v>
      </c>
      <c r="AC8" s="45" t="n">
        <f aca="false">Revenue!AC28</f>
        <v>9012.00727305605</v>
      </c>
      <c r="AD8" s="45" t="n">
        <f aca="false">Revenue!AD28</f>
        <v>9658.06159236436</v>
      </c>
      <c r="AE8" s="45" t="n">
        <f aca="false">Revenue!AE28</f>
        <v>10305.7258820934</v>
      </c>
      <c r="AF8" s="45" t="n">
        <f aca="false">Revenue!AF28</f>
        <v>10954.9518431306</v>
      </c>
      <c r="AG8" s="45" t="n">
        <f aca="false">Revenue!AG28</f>
        <v>11605.6926253367</v>
      </c>
      <c r="AH8" s="45" t="n">
        <f aca="false">Revenue!AH28</f>
        <v>12257.9027840766</v>
      </c>
      <c r="AI8" s="45" t="n">
        <f aca="false">Revenue!AI28</f>
        <v>12911.5382380543</v>
      </c>
      <c r="AJ8" s="45" t="n">
        <f aca="false">Revenue!AJ28</f>
        <v>13566.5562284127</v>
      </c>
      <c r="AK8" s="45" t="n">
        <f aca="false">Revenue!AK28</f>
        <v>14222.9152790603</v>
      </c>
      <c r="AL8" s="45" t="n">
        <f aca="false">Revenue!AL28</f>
        <v>14880.5751581885</v>
      </c>
    </row>
    <row r="9" customFormat="false" ht="15" hidden="false" customHeight="false" outlineLevel="0" collapsed="false">
      <c r="A9" s="1" t="s">
        <v>274</v>
      </c>
      <c r="B9" s="13" t="s">
        <v>62</v>
      </c>
      <c r="C9" s="6" t="n">
        <f aca="false">Costs!C17+Costs!C18+Costs!C20+Costs!C11</f>
        <v>350</v>
      </c>
      <c r="D9" s="6" t="n">
        <f aca="false">Costs!D17+Costs!D18+Costs!D20+Costs!D11</f>
        <v>359.34825</v>
      </c>
      <c r="E9" s="6" t="n">
        <f aca="false">Costs!E17+Costs!E18+Costs!E20+Costs!E11</f>
        <v>368.4160525</v>
      </c>
      <c r="F9" s="6" t="n">
        <f aca="false">Costs!F17+Costs!F18+Costs!F20+Costs!F11</f>
        <v>391.923820925</v>
      </c>
      <c r="G9" s="6" t="n">
        <f aca="false">Costs!G17+Costs!G18+Costs!G20+Costs!G11</f>
        <v>400.01435629725</v>
      </c>
      <c r="H9" s="6" t="n">
        <f aca="false">Costs!H17+Costs!H18+Costs!H20+Costs!H11</f>
        <v>409.578575608332</v>
      </c>
      <c r="I9" s="6" t="n">
        <f aca="false">Costs!I17+Costs!I18+Costs!I20+Costs!I11</f>
        <v>1134.85106834008</v>
      </c>
      <c r="J9" s="6" t="n">
        <f aca="false">Costs!J17+Costs!J18+Costs!J20+Costs!J11</f>
        <v>1144.33308628988</v>
      </c>
      <c r="K9" s="6" t="n">
        <f aca="false">Costs!K17+Costs!K18+Costs!K20+Costs!K11</f>
        <v>1153.77584370118</v>
      </c>
      <c r="L9" s="6" t="n">
        <f aca="false">Costs!L17+Costs!L18+Costs!L20+Costs!L11</f>
        <v>1163.18051839015</v>
      </c>
      <c r="M9" s="6" t="n">
        <f aca="false">Costs!M17+Costs!M18+Costs!M20+Costs!M11</f>
        <v>1172.54825283844</v>
      </c>
      <c r="N9" s="6" t="n">
        <f aca="false">Costs!N17+Costs!N18+Costs!N20+Costs!N11</f>
        <v>1181.88015525329</v>
      </c>
      <c r="O9" s="6" t="n">
        <f aca="false">Costs!O17+Costs!O18+Costs!O20+Costs!O11</f>
        <v>1229.39968620269</v>
      </c>
      <c r="P9" s="6" t="n">
        <f aca="false">Costs!P17+Costs!P18+Costs!P20+Costs!P11</f>
        <v>1248.52889561661</v>
      </c>
      <c r="Q9" s="6" t="n">
        <f aca="false">Costs!Q17+Costs!Q18+Costs!Q20+Costs!Q11</f>
        <v>1267.83410874811</v>
      </c>
      <c r="R9" s="6" t="n">
        <f aca="false">Costs!R17+Costs!R18+Costs!R20+Costs!R11</f>
        <v>1287.31004548567</v>
      </c>
      <c r="S9" s="6" t="n">
        <f aca="false">Costs!S17+Costs!S18+Costs!S20+Costs!S11</f>
        <v>1306.9515841211</v>
      </c>
      <c r="T9" s="6" t="n">
        <f aca="false">Costs!T17+Costs!T18+Costs!T20+Costs!T11</f>
        <v>1326.75375659746</v>
      </c>
      <c r="U9" s="6" t="n">
        <f aca="false">Costs!U17+Costs!U18+Costs!U20+Costs!U11</f>
        <v>1346.71174389954</v>
      </c>
      <c r="V9" s="6" t="n">
        <f aca="false">Costs!V17+Costs!V18+Costs!V20+Costs!V11</f>
        <v>1366.82087158255</v>
      </c>
      <c r="W9" s="6" t="n">
        <f aca="false">Costs!W17+Costs!W18+Costs!W20+Costs!W11</f>
        <v>1387.07660543508</v>
      </c>
      <c r="X9" s="6" t="n">
        <f aca="false">Costs!X17+Costs!X18+Costs!X20+Costs!X11</f>
        <v>1407.47454727202</v>
      </c>
      <c r="Y9" s="6" t="n">
        <f aca="false">Costs!Y17+Costs!Y18+Costs!Y20+Costs!Y11</f>
        <v>1428.01043085386</v>
      </c>
      <c r="Z9" s="6" t="n">
        <f aca="false">Costs!Z17+Costs!Z18+Costs!Z20+Costs!Z11</f>
        <v>1448.68011792825</v>
      </c>
      <c r="AA9" s="6" t="n">
        <f aca="false">Costs!AA17+Costs!AA18+Costs!AA20+Costs!AA11</f>
        <v>2303.52791987353</v>
      </c>
      <c r="AB9" s="6" t="n">
        <f aca="false">Costs!AB17+Costs!AB18+Costs!AB20+Costs!AB11</f>
        <v>2334.75132152732</v>
      </c>
      <c r="AC9" s="6" t="n">
        <f aca="false">Costs!AC17+Costs!AC18+Costs!AC20+Costs!AC11</f>
        <v>2366.0578531315</v>
      </c>
      <c r="AD9" s="6" t="n">
        <f aca="false">Costs!AD17+Costs!AD18+Costs!AD20+Costs!AD11</f>
        <v>2397.44502078756</v>
      </c>
      <c r="AE9" s="6" t="n">
        <f aca="false">Costs!AE17+Costs!AE18+Costs!AE20+Costs!AE11</f>
        <v>2428.91040541393</v>
      </c>
      <c r="AF9" s="6" t="n">
        <f aca="false">Costs!AF17+Costs!AF18+Costs!AF20+Costs!AF11</f>
        <v>2460.45166050151</v>
      </c>
      <c r="AG9" s="6" t="n">
        <f aca="false">Costs!AG17+Costs!AG18+Costs!AG20+Costs!AG11</f>
        <v>2492.06650993647</v>
      </c>
      <c r="AH9" s="6" t="n">
        <f aca="false">Costs!AH17+Costs!AH18+Costs!AH20+Costs!AH11</f>
        <v>2523.75274588838</v>
      </c>
      <c r="AI9" s="6" t="n">
        <f aca="false">Costs!AI17+Costs!AI18+Costs!AI20+Costs!AI11</f>
        <v>2555.50822676172</v>
      </c>
      <c r="AJ9" s="6" t="n">
        <f aca="false">Costs!AJ17+Costs!AJ18+Costs!AJ20+Costs!AJ11</f>
        <v>2587.33087520887</v>
      </c>
      <c r="AK9" s="6" t="n">
        <f aca="false">Costs!AK17+Costs!AK18+Costs!AK20+Costs!AK11</f>
        <v>2619.21867620261</v>
      </c>
      <c r="AL9" s="6" t="n">
        <f aca="false">Costs!AL17+Costs!AL18+Costs!AL20+Costs!AL11</f>
        <v>2651.16967516653</v>
      </c>
    </row>
    <row r="10" customFormat="false" ht="15" hidden="false" customHeight="false" outlineLevel="0" collapsed="false">
      <c r="A10" s="3" t="s">
        <v>275</v>
      </c>
      <c r="B10" s="13" t="s">
        <v>62</v>
      </c>
      <c r="C10" s="41" t="n">
        <f aca="false">C8-C9</f>
        <v>-350</v>
      </c>
      <c r="D10" s="41" t="n">
        <f aca="false">D8-D9</f>
        <v>-177.87325</v>
      </c>
      <c r="E10" s="41" t="n">
        <f aca="false">E8-E9</f>
        <v>-10.9103025</v>
      </c>
      <c r="F10" s="41" t="n">
        <f aca="false">F8-F9</f>
        <v>421.931756575</v>
      </c>
      <c r="G10" s="41" t="n">
        <f aca="false">G8-G9</f>
        <v>570.90055387775</v>
      </c>
      <c r="H10" s="41" t="n">
        <f aca="false">H8-H9</f>
        <v>747.003887261418</v>
      </c>
      <c r="I10" s="41" t="n">
        <f aca="false">I8-I9</f>
        <v>206.588920643575</v>
      </c>
      <c r="J10" s="41" t="n">
        <f aca="false">J8-J9</f>
        <v>381.178703024268</v>
      </c>
      <c r="K10" s="41" t="n">
        <f aca="false">K8-K9</f>
        <v>555.04559193354</v>
      </c>
      <c r="L10" s="41" t="n">
        <f aca="false">L8-L9</f>
        <v>728.211274175534</v>
      </c>
      <c r="M10" s="41" t="n">
        <f aca="false">M8-M9</f>
        <v>900.696785950268</v>
      </c>
      <c r="N10" s="41" t="n">
        <f aca="false">N8-N9</f>
        <v>1072.52253237176</v>
      </c>
      <c r="O10" s="41" t="n">
        <f aca="false">O8-O9</f>
        <v>1327.23020114343</v>
      </c>
      <c r="P10" s="41" t="n">
        <f aca="false">P8-P9</f>
        <v>1690.59334510912</v>
      </c>
      <c r="Q10" s="41" t="n">
        <f aca="false">Q8-Q9</f>
        <v>2057.29971475585</v>
      </c>
      <c r="R10" s="41" t="n">
        <f aca="false">R8-R9</f>
        <v>2427.24901331317</v>
      </c>
      <c r="S10" s="41" t="n">
        <f aca="false">S8-S9</f>
        <v>2800.34395291378</v>
      </c>
      <c r="T10" s="41" t="n">
        <f aca="false">T8-T9</f>
        <v>3176.49016432637</v>
      </c>
      <c r="U10" s="41" t="n">
        <f aca="false">U8-U9</f>
        <v>3555.59610939658</v>
      </c>
      <c r="V10" s="41" t="n">
        <f aca="false">V8-V9</f>
        <v>3937.57299611468</v>
      </c>
      <c r="W10" s="41" t="n">
        <f aca="false">W8-W9</f>
        <v>4322.33469623124</v>
      </c>
      <c r="X10" s="41" t="n">
        <f aca="false">X8-X9</f>
        <v>4709.7976653443</v>
      </c>
      <c r="Y10" s="41" t="n">
        <f aca="false">Y8-Y9</f>
        <v>5099.88086538397</v>
      </c>
      <c r="Z10" s="41" t="n">
        <f aca="false">Z8-Z9</f>
        <v>5492.50568942245</v>
      </c>
      <c r="AA10" s="41" t="n">
        <f aca="false">AA8-AA9</f>
        <v>5421.40133741316</v>
      </c>
      <c r="AB10" s="41" t="n">
        <f aca="false">AB8-AB9</f>
        <v>6032.86139554076</v>
      </c>
      <c r="AC10" s="41" t="n">
        <f aca="false">AC8-AC9</f>
        <v>6645.94941992454</v>
      </c>
      <c r="AD10" s="41" t="n">
        <f aca="false">AD8-AD9</f>
        <v>7260.6165715768</v>
      </c>
      <c r="AE10" s="41" t="n">
        <f aca="false">AE8-AE9</f>
        <v>7876.8154766795</v>
      </c>
      <c r="AF10" s="41" t="n">
        <f aca="false">AF8-AF9</f>
        <v>8494.50018262912</v>
      </c>
      <c r="AG10" s="41" t="n">
        <f aca="false">AG8-AG9</f>
        <v>9113.62611540024</v>
      </c>
      <c r="AH10" s="41" t="n">
        <f aca="false">AH8-AH9</f>
        <v>9734.15003818823</v>
      </c>
      <c r="AI10" s="41" t="n">
        <f aca="false">AI8-AI9</f>
        <v>10356.0300112926</v>
      </c>
      <c r="AJ10" s="41" t="n">
        <f aca="false">AJ8-AJ9</f>
        <v>10979.2253532038</v>
      </c>
      <c r="AK10" s="41" t="n">
        <f aca="false">AK8-AK9</f>
        <v>11603.6966028577</v>
      </c>
      <c r="AL10" s="41" t="n">
        <f aca="false">AL8-AL9</f>
        <v>12229.405483022</v>
      </c>
    </row>
    <row r="11" customFormat="false" ht="15" hidden="false" customHeight="false" outlineLevel="0" collapsed="false">
      <c r="A11" s="1" t="s">
        <v>276</v>
      </c>
      <c r="B11" s="13" t="s">
        <v>72</v>
      </c>
      <c r="C11" s="26" t="n">
        <f aca="false">IF(C8&gt;0,C10/C8,0)</f>
        <v>0</v>
      </c>
      <c r="D11" s="26" t="n">
        <f aca="false">IF(D8&gt;0,D10/D8,0)</f>
        <v>-0.980152913624466</v>
      </c>
      <c r="E11" s="26" t="n">
        <f aca="false">IF(E8&gt;0,E10/E8,0)</f>
        <v>-0.030517837824986</v>
      </c>
      <c r="F11" s="26" t="n">
        <f aca="false">IF(F8&gt;0,F10/F8,0)</f>
        <v>0.518435663820219</v>
      </c>
      <c r="G11" s="26" t="n">
        <f aca="false">IF(G8&gt;0,G10/G8,0)</f>
        <v>0.588002664182848</v>
      </c>
      <c r="H11" s="26" t="n">
        <f aca="false">IF(H8&gt;0,H10/H8,0)</f>
        <v>0.64587170499536</v>
      </c>
      <c r="I11" s="26" t="n">
        <f aca="false">IF(I8&gt;0,I10/I8,0)</f>
        <v>0.154005339292216</v>
      </c>
      <c r="J11" s="26" t="n">
        <f aca="false">IF(J8&gt;0,J10/J8,0)</f>
        <v>0.249869391829244</v>
      </c>
      <c r="K11" s="26" t="n">
        <f aca="false">IF(K8&gt;0,K10/K8,0)</f>
        <v>0.324811931989473</v>
      </c>
      <c r="L11" s="26" t="n">
        <f aca="false">IF(L8&gt;0,L10/L8,0)</f>
        <v>0.385013447260291</v>
      </c>
      <c r="M11" s="26" t="n">
        <f aca="false">IF(M8&gt;0,M10/M8,0)</f>
        <v>0.43443817257438</v>
      </c>
      <c r="N11" s="26" t="n">
        <f aca="false">IF(N8&gt;0,N10/N8,0)</f>
        <v>0.47574576550103</v>
      </c>
      <c r="O11" s="26" t="n">
        <f aca="false">IF(O8&gt;0,O10/O8,0)</f>
        <v>0.519132709709948</v>
      </c>
      <c r="P11" s="26" t="n">
        <f aca="false">IF(P8&gt;0,P10/P8,0)</f>
        <v>0.575203481394391</v>
      </c>
      <c r="Q11" s="26" t="n">
        <f aca="false">IF(Q8&gt;0,Q10/Q8,0)</f>
        <v>0.618711854606775</v>
      </c>
      <c r="R11" s="26" t="n">
        <f aca="false">IF(R8&gt;0,R10/R8,0)</f>
        <v>0.653442030370642</v>
      </c>
      <c r="S11" s="26" t="n">
        <f aca="false">IF(S8&gt;0,S10/S8,0)</f>
        <v>0.681797530190728</v>
      </c>
      <c r="T11" s="26" t="n">
        <f aca="false">IF(T8&gt;0,T10/T8,0)</f>
        <v>0.705378216260317</v>
      </c>
      <c r="U11" s="26" t="n">
        <f aca="false">IF(U8&gt;0,U10/U8,0)</f>
        <v>0.725290254263803</v>
      </c>
      <c r="V11" s="26" t="n">
        <f aca="false">IF(V8&gt;0,V10/V8,0)</f>
        <v>0.742322891988426</v>
      </c>
      <c r="W11" s="26" t="n">
        <f aca="false">IF(W8&gt;0,W10/W8,0)</f>
        <v>0.757054356019113</v>
      </c>
      <c r="X11" s="26" t="n">
        <f aca="false">IF(X8&gt;0,X10/X8,0)</f>
        <v>0.769917947354176</v>
      </c>
      <c r="Y11" s="26" t="n">
        <f aca="false">IF(Y8&gt;0,Y10/Y8,0)</f>
        <v>0.78124475944064</v>
      </c>
      <c r="Z11" s="26" t="n">
        <f aca="false">IF(Z8&gt;0,Z10/Z8,0)</f>
        <v>0.791292128155668</v>
      </c>
      <c r="AA11" s="26" t="n">
        <f aca="false">IF(AA8&gt;0,AA10/AA8,0)</f>
        <v>0.701805952759932</v>
      </c>
      <c r="AB11" s="26" t="n">
        <f aca="false">IF(AB8&gt;0,AB10/AB8,0)</f>
        <v>0.720977607297127</v>
      </c>
      <c r="AC11" s="26" t="n">
        <f aca="false">IF(AC8&gt;0,AC10/AC8,0)</f>
        <v>0.737454955212308</v>
      </c>
      <c r="AD11" s="26" t="n">
        <f aca="false">IF(AD8&gt;0,AD10/AD8,0)</f>
        <v>0.751767474470967</v>
      </c>
      <c r="AE11" s="26" t="n">
        <f aca="false">IF(AE8&gt;0,AE10/AE8,0)</f>
        <v>0.764314475932816</v>
      </c>
      <c r="AF11" s="26" t="n">
        <f aca="false">IF(AF8&gt;0,AF10/AF8,0)</f>
        <v>0.775402786271091</v>
      </c>
      <c r="AG11" s="26" t="n">
        <f aca="false">IF(AG8&gt;0,AG10/AG8,0)</f>
        <v>0.785272056534052</v>
      </c>
      <c r="AH11" s="26" t="n">
        <f aca="false">IF(AH8&gt;0,AH10/AH8,0)</f>
        <v>0.794112191102804</v>
      </c>
      <c r="AI11" s="26" t="n">
        <f aca="false">IF(AI8&gt;0,AI10/AI8,0)</f>
        <v>0.802075617974793</v>
      </c>
      <c r="AJ11" s="26" t="n">
        <f aca="false">IF(AJ8&gt;0,AJ10/AJ8,0)</f>
        <v>0.809286097986298</v>
      </c>
      <c r="AK11" s="26" t="n">
        <f aca="false">IF(AK8&gt;0,AK10/AK8,0)</f>
        <v>0.815845160797748</v>
      </c>
      <c r="AL11" s="26" t="n">
        <f aca="false">IF(AL8&gt;0,AL10/AL8,0)</f>
        <v>0.821836881506046</v>
      </c>
    </row>
    <row r="12" customFormat="false" ht="15" hidden="false" customHeight="false" outlineLevel="0" collapsed="false">
      <c r="A12" s="1" t="s">
        <v>277</v>
      </c>
      <c r="B12" s="13" t="s">
        <v>62</v>
      </c>
      <c r="C12" s="6" t="n">
        <f aca="false">Costs!C8+Costs!C9+Costs!C12+Costs!C19</f>
        <v>2295</v>
      </c>
      <c r="D12" s="6" t="n">
        <f aca="false">Costs!D8+Costs!D9+Costs!D12+Costs!D19</f>
        <v>2295</v>
      </c>
      <c r="E12" s="6" t="n">
        <f aca="false">Costs!E8+Costs!E9+Costs!E12+Costs!E19</f>
        <v>2295</v>
      </c>
      <c r="F12" s="6" t="n">
        <f aca="false">Costs!F8+Costs!F9+Costs!F12+Costs!F19</f>
        <v>2295</v>
      </c>
      <c r="G12" s="6" t="n">
        <f aca="false">Costs!G8+Costs!G9+Costs!G12+Costs!G19</f>
        <v>2295</v>
      </c>
      <c r="H12" s="6" t="n">
        <f aca="false">Costs!H8+Costs!H9+Costs!H12+Costs!H19</f>
        <v>2295</v>
      </c>
      <c r="I12" s="6" t="n">
        <f aca="false">Costs!I8+Costs!I9+Costs!I12+Costs!I19</f>
        <v>2295</v>
      </c>
      <c r="J12" s="6" t="n">
        <f aca="false">Costs!J8+Costs!J9+Costs!J12+Costs!J19</f>
        <v>2295</v>
      </c>
      <c r="K12" s="6" t="n">
        <f aca="false">Costs!K8+Costs!K9+Costs!K12+Costs!K19</f>
        <v>2295</v>
      </c>
      <c r="L12" s="6" t="n">
        <f aca="false">Costs!L8+Costs!L9+Costs!L12+Costs!L19</f>
        <v>2295</v>
      </c>
      <c r="M12" s="6" t="n">
        <f aca="false">Costs!M8+Costs!M9+Costs!M12+Costs!M19</f>
        <v>2295</v>
      </c>
      <c r="N12" s="6" t="n">
        <f aca="false">Costs!N8+Costs!N9+Costs!N12+Costs!N19</f>
        <v>2295</v>
      </c>
      <c r="O12" s="6" t="n">
        <f aca="false">Costs!O8+Costs!O9+Costs!O12+Costs!O19</f>
        <v>2397.25</v>
      </c>
      <c r="P12" s="6" t="n">
        <f aca="false">Costs!P8+Costs!P9+Costs!P12+Costs!P19</f>
        <v>2397.25</v>
      </c>
      <c r="Q12" s="6" t="n">
        <f aca="false">Costs!Q8+Costs!Q9+Costs!Q12+Costs!Q19</f>
        <v>2397.25</v>
      </c>
      <c r="R12" s="6" t="n">
        <f aca="false">Costs!R8+Costs!R9+Costs!R12+Costs!R19</f>
        <v>2397.25</v>
      </c>
      <c r="S12" s="6" t="n">
        <f aca="false">Costs!S8+Costs!S9+Costs!S12+Costs!S19</f>
        <v>2397.25</v>
      </c>
      <c r="T12" s="6" t="n">
        <f aca="false">Costs!T8+Costs!T9+Costs!T12+Costs!T19</f>
        <v>2397.25</v>
      </c>
      <c r="U12" s="6" t="n">
        <f aca="false">Costs!U8+Costs!U9+Costs!U12+Costs!U19</f>
        <v>2397.25</v>
      </c>
      <c r="V12" s="6" t="n">
        <f aca="false">Costs!V8+Costs!V9+Costs!V12+Costs!V19</f>
        <v>2397.25</v>
      </c>
      <c r="W12" s="6" t="n">
        <f aca="false">Costs!W8+Costs!W9+Costs!W12+Costs!W19</f>
        <v>2397.25</v>
      </c>
      <c r="X12" s="6" t="n">
        <f aca="false">Costs!X8+Costs!X9+Costs!X12+Costs!X19</f>
        <v>2397.25</v>
      </c>
      <c r="Y12" s="6" t="n">
        <f aca="false">Costs!Y8+Costs!Y9+Costs!Y12+Costs!Y19</f>
        <v>2397.25</v>
      </c>
      <c r="Z12" s="6" t="n">
        <f aca="false">Costs!Z8+Costs!Z9+Costs!Z12+Costs!Z19</f>
        <v>2397.25</v>
      </c>
      <c r="AA12" s="6" t="n">
        <f aca="false">Costs!AA8+Costs!AA9+Costs!AA12+Costs!AA19</f>
        <v>5322.878125</v>
      </c>
      <c r="AB12" s="6" t="n">
        <f aca="false">Costs!AB8+Costs!AB9+Costs!AB12+Costs!AB19</f>
        <v>5322.878125</v>
      </c>
      <c r="AC12" s="6" t="n">
        <f aca="false">Costs!AC8+Costs!AC9+Costs!AC12+Costs!AC19</f>
        <v>5322.878125</v>
      </c>
      <c r="AD12" s="6" t="n">
        <f aca="false">Costs!AD8+Costs!AD9+Costs!AD12+Costs!AD19</f>
        <v>5322.878125</v>
      </c>
      <c r="AE12" s="6" t="n">
        <f aca="false">Costs!AE8+Costs!AE9+Costs!AE12+Costs!AE19</f>
        <v>5322.878125</v>
      </c>
      <c r="AF12" s="6" t="n">
        <f aca="false">Costs!AF8+Costs!AF9+Costs!AF12+Costs!AF19</f>
        <v>5322.878125</v>
      </c>
      <c r="AG12" s="6" t="n">
        <f aca="false">Costs!AG8+Costs!AG9+Costs!AG12+Costs!AG19</f>
        <v>5322.878125</v>
      </c>
      <c r="AH12" s="6" t="n">
        <f aca="false">Costs!AH8+Costs!AH9+Costs!AH12+Costs!AH19</f>
        <v>5322.878125</v>
      </c>
      <c r="AI12" s="6" t="n">
        <f aca="false">Costs!AI8+Costs!AI9+Costs!AI12+Costs!AI19</f>
        <v>5322.878125</v>
      </c>
      <c r="AJ12" s="6" t="n">
        <f aca="false">Costs!AJ8+Costs!AJ9+Costs!AJ12+Costs!AJ19</f>
        <v>5322.878125</v>
      </c>
      <c r="AK12" s="6" t="n">
        <f aca="false">Costs!AK8+Costs!AK9+Costs!AK12+Costs!AK19</f>
        <v>5322.878125</v>
      </c>
      <c r="AL12" s="6" t="n">
        <f aca="false">Costs!AL8+Costs!AL9+Costs!AL12+Costs!AL19</f>
        <v>5322.878125</v>
      </c>
    </row>
    <row r="13" customFormat="false" ht="15" hidden="false" customHeight="false" outlineLevel="0" collapsed="false">
      <c r="A13" s="1" t="s">
        <v>278</v>
      </c>
      <c r="B13" s="13" t="s">
        <v>62</v>
      </c>
      <c r="C13" s="6" t="n">
        <f aca="false">Costs!C10+Costs!C21+Costs!C22+Costs!C23</f>
        <v>1800</v>
      </c>
      <c r="D13" s="6" t="n">
        <f aca="false">Costs!D10+Costs!D21+Costs!D22+Costs!D23</f>
        <v>1800</v>
      </c>
      <c r="E13" s="6" t="n">
        <f aca="false">Costs!E10+Costs!E21+Costs!E22+Costs!E23</f>
        <v>2822.5</v>
      </c>
      <c r="F13" s="6" t="n">
        <f aca="false">Costs!F10+Costs!F21+Costs!F22+Costs!F23</f>
        <v>2879.62</v>
      </c>
      <c r="G13" s="6" t="n">
        <f aca="false">Costs!G10+Costs!G21+Costs!G22+Costs!G23</f>
        <v>2879.62</v>
      </c>
      <c r="H13" s="6" t="n">
        <f aca="false">Costs!H10+Costs!H21+Costs!H22+Costs!H23</f>
        <v>2886.284</v>
      </c>
      <c r="I13" s="6" t="n">
        <f aca="false">Costs!I10+Costs!I21+Costs!I22+Costs!I23</f>
        <v>2893.9</v>
      </c>
      <c r="J13" s="6" t="n">
        <f aca="false">Costs!J10+Costs!J21+Costs!J22+Costs!J23</f>
        <v>2902.468</v>
      </c>
      <c r="K13" s="6" t="n">
        <f aca="false">Costs!K10+Costs!K21+Costs!K22+Costs!K23</f>
        <v>2911.988</v>
      </c>
      <c r="L13" s="6" t="n">
        <f aca="false">Costs!L10+Costs!L21+Costs!L22+Costs!L23</f>
        <v>2865.34</v>
      </c>
      <c r="M13" s="6" t="n">
        <f aca="false">Costs!M10+Costs!M21+Costs!M22+Costs!M23</f>
        <v>2876.764</v>
      </c>
      <c r="N13" s="6" t="n">
        <f aca="false">Costs!N10+Costs!N21+Costs!N22+Costs!N23</f>
        <v>2882.476</v>
      </c>
      <c r="O13" s="6" t="n">
        <f aca="false">Costs!O10+Costs!O21+Costs!O22+Costs!O23</f>
        <v>5016.2224</v>
      </c>
      <c r="P13" s="6" t="n">
        <f aca="false">Costs!P10+Costs!P21+Costs!P22+Costs!P23</f>
        <v>5022.22</v>
      </c>
      <c r="Q13" s="6" t="n">
        <f aca="false">Costs!Q10+Costs!Q21+Costs!Q22+Costs!Q23</f>
        <v>5030.2168</v>
      </c>
      <c r="R13" s="6" t="n">
        <f aca="false">Costs!R10+Costs!R21+Costs!R22+Costs!R23</f>
        <v>5040.2128</v>
      </c>
      <c r="S13" s="6" t="n">
        <f aca="false">Costs!S10+Costs!S21+Costs!S22+Costs!S23</f>
        <v>5052.208</v>
      </c>
      <c r="T13" s="6" t="n">
        <f aca="false">Costs!T10+Costs!T21+Costs!T22+Costs!T23</f>
        <v>5066.2024</v>
      </c>
      <c r="U13" s="6" t="n">
        <f aca="false">Costs!U10+Costs!U21+Costs!U22+Costs!U23</f>
        <v>5082.196</v>
      </c>
      <c r="V13" s="6" t="n">
        <f aca="false">Costs!V10+Costs!V21+Costs!V22+Costs!V23</f>
        <v>5100.1888</v>
      </c>
      <c r="W13" s="6" t="n">
        <f aca="false">Costs!W10+Costs!W21+Costs!W22+Costs!W23</f>
        <v>5118.1816</v>
      </c>
      <c r="X13" s="6" t="n">
        <f aca="false">Costs!X10+Costs!X21+Costs!X22+Costs!X23</f>
        <v>5136.1744</v>
      </c>
      <c r="Y13" s="6" t="n">
        <f aca="false">Costs!Y10+Costs!Y21+Costs!Y22+Costs!Y23</f>
        <v>5154.1672</v>
      </c>
      <c r="Z13" s="6" t="n">
        <f aca="false">Costs!Z10+Costs!Z21+Costs!Z22+Costs!Z23</f>
        <v>5172.16</v>
      </c>
      <c r="AA13" s="6" t="n">
        <f aca="false">Costs!AA10+Costs!AA21+Costs!AA22+Costs!AA23</f>
        <v>6309.66044</v>
      </c>
      <c r="AB13" s="6" t="n">
        <f aca="false">Costs!AB10+Costs!AB21+Costs!AB22+Costs!AB23</f>
        <v>6328.55288</v>
      </c>
      <c r="AC13" s="6" t="n">
        <f aca="false">Costs!AC10+Costs!AC21+Costs!AC22+Costs!AC23</f>
        <v>6348.4949</v>
      </c>
      <c r="AD13" s="6" t="n">
        <f aca="false">Costs!AD10+Costs!AD21+Costs!AD22+Costs!AD23</f>
        <v>6369.4865</v>
      </c>
      <c r="AE13" s="6" t="n">
        <f aca="false">Costs!AE10+Costs!AE21+Costs!AE22+Costs!AE23</f>
        <v>6391.52768</v>
      </c>
      <c r="AF13" s="6" t="n">
        <f aca="false">Costs!AF10+Costs!AF21+Costs!AF22+Costs!AF23</f>
        <v>6414.61844</v>
      </c>
      <c r="AG13" s="6" t="n">
        <f aca="false">Costs!AG10+Costs!AG21+Costs!AG22+Costs!AG23</f>
        <v>6438.75878</v>
      </c>
      <c r="AH13" s="6" t="n">
        <f aca="false">Costs!AH10+Costs!AH21+Costs!AH22+Costs!AH23</f>
        <v>6463.9487</v>
      </c>
      <c r="AI13" s="6" t="n">
        <f aca="false">Costs!AI10+Costs!AI21+Costs!AI22+Costs!AI23</f>
        <v>6489.13862</v>
      </c>
      <c r="AJ13" s="6" t="n">
        <f aca="false">Costs!AJ10+Costs!AJ21+Costs!AJ22+Costs!AJ23</f>
        <v>6514.32854</v>
      </c>
      <c r="AK13" s="6" t="n">
        <f aca="false">Costs!AK10+Costs!AK21+Costs!AK22+Costs!AK23</f>
        <v>6539.51846</v>
      </c>
      <c r="AL13" s="6" t="n">
        <f aca="false">Costs!AL10+Costs!AL21+Costs!AL22+Costs!AL23</f>
        <v>6564.70838</v>
      </c>
    </row>
    <row r="14" customFormat="false" ht="15" hidden="false" customHeight="false" outlineLevel="0" collapsed="false">
      <c r="A14" s="1" t="s">
        <v>279</v>
      </c>
      <c r="B14" s="13" t="s">
        <v>62</v>
      </c>
      <c r="C14" s="6" t="n">
        <f aca="false">Costs!C24+Costs!C25+Costs!C26+Costs!C27+Costs!C28+Costs!C29+Costs!C30+Costs!C32</f>
        <v>3372.25</v>
      </c>
      <c r="D14" s="6" t="n">
        <f aca="false">Costs!D24+Costs!D25+Costs!D26+Costs!D27+Costs!D28+Costs!D29+Costs!D30+Costs!D32</f>
        <v>5472.7174125</v>
      </c>
      <c r="E14" s="6" t="n">
        <f aca="false">Costs!E24+Costs!E25+Costs!E26+Costs!E27+Costs!E28+Costs!E29+Costs!E30+Costs!E32</f>
        <v>2899.295802625</v>
      </c>
      <c r="F14" s="6" t="n">
        <f aca="false">Costs!F24+Costs!F25+Costs!F26+Costs!F27+Costs!F28+Costs!F29+Costs!F30+Costs!F32</f>
        <v>2903.32719104625</v>
      </c>
      <c r="G14" s="6" t="n">
        <f aca="false">Costs!G24+Costs!G25+Costs!G26+Costs!G27+Costs!G28+Costs!G29+Costs!G30+Costs!G32</f>
        <v>4478.73171781486</v>
      </c>
      <c r="H14" s="6" t="n">
        <f aca="false">Costs!H24+Costs!H25+Costs!H26+Costs!H27+Costs!H28+Costs!H29+Costs!H30+Costs!H32</f>
        <v>2379.54312878042</v>
      </c>
      <c r="I14" s="6" t="n">
        <f aca="false">Costs!I24+Costs!I25+Costs!I26+Costs!I27+Costs!I28+Costs!I29+Costs!I30+Costs!I32</f>
        <v>841.187553417004</v>
      </c>
      <c r="J14" s="6" t="n">
        <f aca="false">Costs!J24+Costs!J25+Costs!J26+Costs!J27+Costs!J28+Costs!J29+Costs!J30+Costs!J32</f>
        <v>842.090054314494</v>
      </c>
      <c r="K14" s="6" t="n">
        <f aca="false">Costs!K24+Costs!K25+Costs!K26+Costs!K27+Costs!K28+Costs!K29+Costs!K30+Costs!K32</f>
        <v>843.038192185059</v>
      </c>
      <c r="L14" s="6" t="n">
        <f aca="false">Costs!L24+Costs!L25+Costs!L26+Costs!L27+Costs!L28+Costs!L29+Costs!L30+Costs!L32</f>
        <v>841.176025919507</v>
      </c>
      <c r="M14" s="6" t="n">
        <f aca="false">Costs!M24+Costs!M25+Costs!M26+Costs!M27+Costs!M28+Costs!M29+Costs!M30+Costs!M32</f>
        <v>842.215612641922</v>
      </c>
      <c r="N14" s="6" t="n">
        <f aca="false">Costs!N24+Costs!N25+Costs!N26+Costs!N27+Costs!N28+Costs!N29+Costs!N30+Costs!N32</f>
        <v>7142.96780776267</v>
      </c>
      <c r="O14" s="6" t="n">
        <f aca="false">Costs!O24+Costs!O25+Costs!O26+Costs!O27+Costs!O28+Costs!O29+Costs!O30+Costs!O32</f>
        <v>957.143604310135</v>
      </c>
      <c r="P14" s="6" t="n">
        <f aca="false">Costs!P24+Costs!P25+Costs!P26+Costs!P27+Costs!P28+Costs!P29+Costs!P30+Costs!P32</f>
        <v>958.399944780831</v>
      </c>
      <c r="Q14" s="6" t="n">
        <f aca="false">Costs!Q24+Costs!Q25+Costs!Q26+Costs!Q27+Costs!Q28+Costs!Q29+Costs!Q30+Costs!Q32</f>
        <v>959.765045437405</v>
      </c>
      <c r="R14" s="6" t="n">
        <f aca="false">Costs!R24+Costs!R25+Costs!R26+Costs!R27+Costs!R28+Costs!R29+Costs!R30+Costs!R32</f>
        <v>961.238642274283</v>
      </c>
      <c r="S14" s="6" t="n">
        <f aca="false">Costs!S24+Costs!S25+Costs!S26+Costs!S27+Costs!S28+Costs!S29+Costs!S30+Costs!S32</f>
        <v>962.820479206055</v>
      </c>
      <c r="T14" s="6" t="n">
        <f aca="false">Costs!T24+Costs!T25+Costs!T26+Costs!T27+Costs!T28+Costs!T29+Costs!T30+Costs!T32</f>
        <v>964.510307829873</v>
      </c>
      <c r="U14" s="6" t="n">
        <f aca="false">Costs!U24+Costs!U25+Costs!U26+Costs!U27+Costs!U28+Costs!U29+Costs!U30+Costs!U32</f>
        <v>966.307887194977</v>
      </c>
      <c r="V14" s="6" t="n">
        <f aca="false">Costs!V24+Costs!V25+Costs!V26+Costs!V27+Costs!V28+Costs!V29+Costs!V30+Costs!V32</f>
        <v>968.212983579128</v>
      </c>
      <c r="W14" s="6" t="n">
        <f aca="false">Costs!W24+Costs!W25+Costs!W26+Costs!W27+Costs!W28+Costs!W29+Costs!W30+Costs!W32</f>
        <v>970.125410271754</v>
      </c>
      <c r="X14" s="6" t="n">
        <f aca="false">Costs!X24+Costs!X25+Costs!X26+Costs!X27+Costs!X28+Costs!X29+Costs!X30+Costs!X32</f>
        <v>972.044947363601</v>
      </c>
      <c r="Y14" s="6" t="n">
        <f aca="false">Costs!Y24+Costs!Y25+Costs!Y26+Costs!Y27+Costs!Y28+Costs!Y29+Costs!Y30+Costs!Y32</f>
        <v>973.971381542693</v>
      </c>
      <c r="Z14" s="6" t="n">
        <f aca="false">Costs!Z24+Costs!Z25+Costs!Z26+Costs!Z27+Costs!Z28+Costs!Z29+Costs!Z30+Costs!Z32</f>
        <v>975.904505896413</v>
      </c>
      <c r="AA14" s="6" t="n">
        <f aca="false">Costs!AA24+Costs!AA25+Costs!AA26+Costs!AA27+Costs!AA28+Costs!AA29+Costs!AA30+Costs!AA32</f>
        <v>1221.80332424368</v>
      </c>
      <c r="AB14" s="6" t="n">
        <f aca="false">Costs!AB24+Costs!AB25+Costs!AB26+Costs!AB27+Costs!AB28+Costs!AB29+Costs!AB30+Costs!AB32</f>
        <v>1224.30911632637</v>
      </c>
      <c r="AC14" s="6" t="n">
        <f aca="false">Costs!AC24+Costs!AC25+Costs!AC26+Costs!AC27+Costs!AC28+Costs!AC29+Costs!AC30+Costs!AC32</f>
        <v>1226.87154390658</v>
      </c>
      <c r="AD14" s="6" t="n">
        <f aca="false">Costs!AD24+Costs!AD25+Costs!AD26+Costs!AD27+Costs!AD28+Costs!AD29+Costs!AD30+Costs!AD32</f>
        <v>1229.49048228938</v>
      </c>
      <c r="AE14" s="6" t="n">
        <f aca="false">Costs!AE24+Costs!AE25+Costs!AE26+Costs!AE27+Costs!AE28+Costs!AE29+Costs!AE30+Costs!AE32</f>
        <v>1232.1658105207</v>
      </c>
      <c r="AF14" s="6" t="n">
        <f aca="false">Costs!AF24+Costs!AF25+Costs!AF26+Costs!AF27+Costs!AF28+Costs!AF29+Costs!AF30+Costs!AF32</f>
        <v>1234.89741127508</v>
      </c>
      <c r="AG14" s="6" t="n">
        <f aca="false">Costs!AG24+Costs!AG25+Costs!AG26+Costs!AG27+Costs!AG28+Costs!AG29+Costs!AG30+Costs!AG32</f>
        <v>1237.68517074682</v>
      </c>
      <c r="AH14" s="6" t="n">
        <f aca="false">Costs!AH24+Costs!AH25+Costs!AH26+Costs!AH27+Costs!AH28+Costs!AH29+Costs!AH30+Costs!AH32</f>
        <v>1240.52897854442</v>
      </c>
      <c r="AI14" s="6" t="n">
        <f aca="false">Costs!AI24+Costs!AI25+Costs!AI26+Costs!AI27+Costs!AI28+Costs!AI29+Costs!AI30+Costs!AI32</f>
        <v>1243.37624858809</v>
      </c>
      <c r="AJ14" s="6" t="n">
        <f aca="false">Costs!AJ24+Costs!AJ25+Costs!AJ26+Costs!AJ27+Costs!AJ28+Costs!AJ29+Costs!AJ30+Costs!AJ32</f>
        <v>1246.22687701044</v>
      </c>
      <c r="AK14" s="6" t="n">
        <f aca="false">Costs!AK24+Costs!AK25+Costs!AK26+Costs!AK27+Costs!AK28+Costs!AK29+Costs!AK30+Costs!AK32</f>
        <v>1249.08076306013</v>
      </c>
      <c r="AL14" s="6" t="n">
        <f aca="false">Costs!AL24+Costs!AL25+Costs!AL26+Costs!AL27+Costs!AL28+Costs!AL29+Costs!AL30+Costs!AL32</f>
        <v>1251.93780900833</v>
      </c>
    </row>
    <row r="15" customFormat="false" ht="15" hidden="false" customHeight="false" outlineLevel="0" collapsed="false">
      <c r="A15" s="3" t="s">
        <v>280</v>
      </c>
      <c r="B15" s="13" t="s">
        <v>62</v>
      </c>
      <c r="C15" s="41" t="n">
        <f aca="false">C10-C12-C13-C14</f>
        <v>-7817.25</v>
      </c>
      <c r="D15" s="41" t="n">
        <f aca="false">D10-D12-D13-D14</f>
        <v>-9745.5906625</v>
      </c>
      <c r="E15" s="41" t="n">
        <f aca="false">E10-E12-E13-E14</f>
        <v>-8027.706105125</v>
      </c>
      <c r="F15" s="41" t="n">
        <f aca="false">F10-F12-F13-F14</f>
        <v>-7656.01543447125</v>
      </c>
      <c r="G15" s="41" t="n">
        <f aca="false">G10-G12-G13-G14</f>
        <v>-9082.45116393711</v>
      </c>
      <c r="H15" s="41" t="n">
        <f aca="false">H10-H12-H13-H14</f>
        <v>-6813.823241519</v>
      </c>
      <c r="I15" s="41" t="n">
        <f aca="false">I10-I12-I13-I14</f>
        <v>-5823.49863277343</v>
      </c>
      <c r="J15" s="41" t="n">
        <f aca="false">J10-J12-J13-J14</f>
        <v>-5658.37935129023</v>
      </c>
      <c r="K15" s="41" t="n">
        <f aca="false">K10-K12-K13-K14</f>
        <v>-5494.98060025152</v>
      </c>
      <c r="L15" s="41" t="n">
        <f aca="false">L10-L12-L13-L14</f>
        <v>-5273.30475174397</v>
      </c>
      <c r="M15" s="41" t="n">
        <f aca="false">M10-M12-M13-M14</f>
        <v>-5113.28282669165</v>
      </c>
      <c r="N15" s="41" t="n">
        <f aca="false">N10-N12-N13-N14</f>
        <v>-11247.9212753909</v>
      </c>
      <c r="O15" s="41" t="n">
        <f aca="false">O10-O12-O13-O14</f>
        <v>-7043.38580316671</v>
      </c>
      <c r="P15" s="41" t="n">
        <f aca="false">P10-P12-P13-P14</f>
        <v>-6687.27659967171</v>
      </c>
      <c r="Q15" s="41" t="n">
        <f aca="false">Q10-Q12-Q13-Q14</f>
        <v>-6329.93213068156</v>
      </c>
      <c r="R15" s="41" t="n">
        <f aca="false">R10-R12-R13-R14</f>
        <v>-5971.45242896111</v>
      </c>
      <c r="S15" s="41" t="n">
        <f aca="false">S10-S12-S13-S14</f>
        <v>-5611.93452629228</v>
      </c>
      <c r="T15" s="41" t="n">
        <f aca="false">T10-T12-T13-T14</f>
        <v>-5251.47254350351</v>
      </c>
      <c r="U15" s="41" t="n">
        <f aca="false">U10-U12-U13-U14</f>
        <v>-4890.1577777984</v>
      </c>
      <c r="V15" s="41" t="n">
        <f aca="false">V10-V12-V13-V14</f>
        <v>-4528.07878746445</v>
      </c>
      <c r="W15" s="41" t="n">
        <f aca="false">W10-W12-W13-W14</f>
        <v>-4163.22231404052</v>
      </c>
      <c r="X15" s="41" t="n">
        <f aca="false">X10-X12-X13-X14</f>
        <v>-3795.6716820193</v>
      </c>
      <c r="Y15" s="41" t="n">
        <f aca="false">Y10-Y12-Y13-Y14</f>
        <v>-3425.50771615872</v>
      </c>
      <c r="Z15" s="41" t="n">
        <f aca="false">Z10-Z12-Z13-Z14</f>
        <v>-3052.80881647396</v>
      </c>
      <c r="AA15" s="41" t="n">
        <f aca="false">AA10-AA12-AA13-AA14</f>
        <v>-7432.94055183052</v>
      </c>
      <c r="AB15" s="41" t="n">
        <f aca="false">AB10-AB12-AB13-AB14</f>
        <v>-6842.8787257856</v>
      </c>
      <c r="AC15" s="41" t="n">
        <f aca="false">AC10-AC12-AC13-AC14</f>
        <v>-6252.29514898203</v>
      </c>
      <c r="AD15" s="41" t="n">
        <f aca="false">AD10-AD12-AD13-AD14</f>
        <v>-5661.23853571258</v>
      </c>
      <c r="AE15" s="41" t="n">
        <f aca="false">AE10-AE12-AE13-AE14</f>
        <v>-5069.7561388412</v>
      </c>
      <c r="AF15" s="41" t="n">
        <f aca="false">AF10-AF12-AF13-AF14</f>
        <v>-4477.89379364596</v>
      </c>
      <c r="AG15" s="41" t="n">
        <f aca="false">AG10-AG12-AG13-AG14</f>
        <v>-3885.69596034658</v>
      </c>
      <c r="AH15" s="41" t="n">
        <f aca="false">AH10-AH12-AH13-AH14</f>
        <v>-3293.20576535619</v>
      </c>
      <c r="AI15" s="41" t="n">
        <f aca="false">AI10-AI12-AI13-AI14</f>
        <v>-2699.3629822955</v>
      </c>
      <c r="AJ15" s="41" t="n">
        <f aca="false">AJ10-AJ12-AJ13-AJ14</f>
        <v>-2104.20818880664</v>
      </c>
      <c r="AK15" s="41" t="n">
        <f aca="false">AK10-AK12-AK13-AK14</f>
        <v>-1507.78074520243</v>
      </c>
      <c r="AL15" s="41" t="n">
        <f aca="false">AL10-AL12-AL13-AL14</f>
        <v>-910.11883098636</v>
      </c>
    </row>
    <row r="16" customFormat="false" ht="15" hidden="false" customHeight="false" outlineLevel="0" collapsed="false">
      <c r="A16" s="1" t="s">
        <v>281</v>
      </c>
      <c r="B16" s="13" t="s">
        <v>62</v>
      </c>
      <c r="C16" s="40" t="n">
        <f aca="false">ROUND(C15-(C8-Costs!C34),2)</f>
        <v>0</v>
      </c>
      <c r="D16" s="40" t="n">
        <f aca="false">ROUND(D15-(D8-Costs!D34),2)</f>
        <v>0</v>
      </c>
      <c r="E16" s="40" t="n">
        <f aca="false">ROUND(E15-(E8-Costs!E34),2)</f>
        <v>0</v>
      </c>
      <c r="F16" s="40" t="n">
        <f aca="false">ROUND(F15-(F8-Costs!F34),2)</f>
        <v>0</v>
      </c>
      <c r="G16" s="40" t="n">
        <f aca="false">ROUND(G15-(G8-Costs!G34),2)</f>
        <v>0</v>
      </c>
      <c r="H16" s="40" t="n">
        <f aca="false">ROUND(H15-(H8-Costs!H34),2)</f>
        <v>0</v>
      </c>
      <c r="I16" s="40" t="n">
        <f aca="false">ROUND(I15-(I8-Costs!I34),2)</f>
        <v>0</v>
      </c>
      <c r="J16" s="40" t="n">
        <f aca="false">ROUND(J15-(J8-Costs!J34),2)</f>
        <v>0</v>
      </c>
      <c r="K16" s="40" t="n">
        <f aca="false">ROUND(K15-(K8-Costs!K34),2)</f>
        <v>0</v>
      </c>
      <c r="L16" s="40" t="n">
        <f aca="false">ROUND(L15-(L8-Costs!L34),2)</f>
        <v>0</v>
      </c>
      <c r="M16" s="40" t="n">
        <f aca="false">ROUND(M15-(M8-Costs!M34),2)</f>
        <v>0</v>
      </c>
      <c r="N16" s="40" t="n">
        <f aca="false">ROUND(N15-(N8-Costs!N34),2)</f>
        <v>0</v>
      </c>
      <c r="O16" s="40" t="n">
        <f aca="false">ROUND(O15-(O8-Costs!O34),2)</f>
        <v>0</v>
      </c>
      <c r="P16" s="40" t="n">
        <f aca="false">ROUND(P15-(P8-Costs!P34),2)</f>
        <v>0</v>
      </c>
      <c r="Q16" s="40" t="n">
        <f aca="false">ROUND(Q15-(Q8-Costs!Q34),2)</f>
        <v>0</v>
      </c>
      <c r="R16" s="40" t="n">
        <f aca="false">ROUND(R15-(R8-Costs!R34),2)</f>
        <v>0</v>
      </c>
      <c r="S16" s="40" t="n">
        <f aca="false">ROUND(S15-(S8-Costs!S34),2)</f>
        <v>0</v>
      </c>
      <c r="T16" s="40" t="n">
        <f aca="false">ROUND(T15-(T8-Costs!T34),2)</f>
        <v>0</v>
      </c>
      <c r="U16" s="40" t="n">
        <f aca="false">ROUND(U15-(U8-Costs!U34),2)</f>
        <v>0</v>
      </c>
      <c r="V16" s="40" t="n">
        <f aca="false">ROUND(V15-(V8-Costs!V34),2)</f>
        <v>0</v>
      </c>
      <c r="W16" s="40" t="n">
        <f aca="false">ROUND(W15-(W8-Costs!W34),2)</f>
        <v>0</v>
      </c>
      <c r="X16" s="40" t="n">
        <f aca="false">ROUND(X15-(X8-Costs!X34),2)</f>
        <v>0</v>
      </c>
      <c r="Y16" s="40" t="n">
        <f aca="false">ROUND(Y15-(Y8-Costs!Y34),2)</f>
        <v>0</v>
      </c>
      <c r="Z16" s="40" t="n">
        <f aca="false">ROUND(Z15-(Z8-Costs!Z34),2)</f>
        <v>0</v>
      </c>
      <c r="AA16" s="40" t="n">
        <f aca="false">ROUND(AA15-(AA8-Costs!AA34),2)</f>
        <v>0</v>
      </c>
      <c r="AB16" s="40" t="n">
        <f aca="false">ROUND(AB15-(AB8-Costs!AB34),2)</f>
        <v>0</v>
      </c>
      <c r="AC16" s="40" t="n">
        <f aca="false">ROUND(AC15-(AC8-Costs!AC34),2)</f>
        <v>0</v>
      </c>
      <c r="AD16" s="40" t="n">
        <f aca="false">ROUND(AD15-(AD8-Costs!AD34),2)</f>
        <v>0</v>
      </c>
      <c r="AE16" s="40" t="n">
        <f aca="false">ROUND(AE15-(AE8-Costs!AE34),2)</f>
        <v>0</v>
      </c>
      <c r="AF16" s="40" t="n">
        <f aca="false">ROUND(AF15-(AF8-Costs!AF34),2)</f>
        <v>0</v>
      </c>
      <c r="AG16" s="40" t="n">
        <f aca="false">ROUND(AG15-(AG8-Costs!AG34),2)</f>
        <v>0</v>
      </c>
      <c r="AH16" s="40" t="n">
        <f aca="false">ROUND(AH15-(AH8-Costs!AH34),2)</f>
        <v>0</v>
      </c>
      <c r="AI16" s="40" t="n">
        <f aca="false">ROUND(AI15-(AI8-Costs!AI34),2)</f>
        <v>0</v>
      </c>
      <c r="AJ16" s="40" t="n">
        <f aca="false">ROUND(AJ15-(AJ8-Costs!AJ34),2)</f>
        <v>0</v>
      </c>
      <c r="AK16" s="40" t="n">
        <f aca="false">ROUND(AK15-(AK8-Costs!AK34),2)</f>
        <v>0</v>
      </c>
      <c r="AL16" s="40" t="n">
        <f aca="false">ROUND(AL15-(AL8-Costs!AL34),2)</f>
        <v>0</v>
      </c>
    </row>
    <row r="17" customFormat="false" ht="15" hidden="false" customHeight="false" outlineLevel="0" collapsed="false">
      <c r="A17" s="1" t="s">
        <v>282</v>
      </c>
      <c r="B17" s="13" t="s">
        <v>62</v>
      </c>
      <c r="C17" s="40" t="n">
        <f aca="false">IF(in_TaxRegime=1,in_MicroRate*C8,MAX(0,in_ProfitTax*C15))</f>
        <v>0</v>
      </c>
      <c r="D17" s="40" t="n">
        <f aca="false">IF(in_TaxRegime=1,in_MicroRate*D8,MAX(0,in_ProfitTax*D15))</f>
        <v>1.81475</v>
      </c>
      <c r="E17" s="40" t="n">
        <f aca="false">IF(in_TaxRegime=1,in_MicroRate*E8,MAX(0,in_ProfitTax*E15))</f>
        <v>3.5750575</v>
      </c>
      <c r="F17" s="40" t="n">
        <f aca="false">IF(in_TaxRegime=1,in_MicroRate*F8,MAX(0,in_ProfitTax*F15))</f>
        <v>8.138555775</v>
      </c>
      <c r="G17" s="40" t="n">
        <f aca="false">IF(in_TaxRegime=1,in_MicroRate*G8,MAX(0,in_ProfitTax*G15))</f>
        <v>9.70914910175</v>
      </c>
      <c r="H17" s="40" t="n">
        <f aca="false">IF(in_TaxRegime=1,in_MicroRate*H8,MAX(0,in_ProfitTax*H15))</f>
        <v>11.5658246286975</v>
      </c>
      <c r="I17" s="40" t="n">
        <f aca="false">IF(in_TaxRegime=1,in_MicroRate*I8,MAX(0,in_ProfitTax*I15))</f>
        <v>13.4143998898366</v>
      </c>
      <c r="J17" s="40" t="n">
        <f aca="false">IF(in_TaxRegime=1,in_MicroRate*J8,MAX(0,in_ProfitTax*J15))</f>
        <v>15.2551178931415</v>
      </c>
      <c r="K17" s="40" t="n">
        <f aca="false">IF(in_TaxRegime=1,in_MicroRate*K8,MAX(0,in_ProfitTax*K15))</f>
        <v>17.0882143563472</v>
      </c>
      <c r="L17" s="40" t="n">
        <f aca="false">IF(in_TaxRegime=1,in_MicroRate*L8,MAX(0,in_ProfitTax*L15))</f>
        <v>18.9139179256568</v>
      </c>
      <c r="M17" s="40" t="n">
        <f aca="false">IF(in_TaxRegime=1,in_MicroRate*M8,MAX(0,in_ProfitTax*M15))</f>
        <v>20.7324503878871</v>
      </c>
      <c r="N17" s="40" t="n">
        <f aca="false">IF(in_TaxRegime=1,in_MicroRate*N8,MAX(0,in_ProfitTax*N15))</f>
        <v>22.5440268762505</v>
      </c>
      <c r="O17" s="40" t="n">
        <f aca="false">IF(in_TaxRegime=1,in_MicroRate*O8,MAX(0,in_ProfitTax*O15))</f>
        <v>25.5662988734611</v>
      </c>
      <c r="P17" s="40" t="n">
        <f aca="false">IF(in_TaxRegime=1,in_MicroRate*P8,MAX(0,in_ProfitTax*P15))</f>
        <v>29.3912224072573</v>
      </c>
      <c r="Q17" s="40" t="n">
        <f aca="false">IF(in_TaxRegime=1,in_MicroRate*Q8,MAX(0,in_ProfitTax*Q15))</f>
        <v>33.2513382350396</v>
      </c>
      <c r="R17" s="40" t="n">
        <f aca="false">IF(in_TaxRegime=1,in_MicroRate*R8,MAX(0,in_ProfitTax*R15))</f>
        <v>37.1455905879884</v>
      </c>
      <c r="S17" s="40" t="n">
        <f aca="false">IF(in_TaxRegime=1,in_MicroRate*S8,MAX(0,in_ProfitTax*S15))</f>
        <v>41.0729553703488</v>
      </c>
      <c r="T17" s="40" t="n">
        <f aca="false">IF(in_TaxRegime=1,in_MicroRate*T8,MAX(0,in_ProfitTax*T15))</f>
        <v>45.0324392092383</v>
      </c>
      <c r="U17" s="40" t="n">
        <f aca="false">IF(in_TaxRegime=1,in_MicroRate*U8,MAX(0,in_ProfitTax*U15))</f>
        <v>49.0230785329611</v>
      </c>
      <c r="V17" s="40" t="n">
        <f aca="false">IF(in_TaxRegime=1,in_MicroRate*V8,MAX(0,in_ProfitTax*V15))</f>
        <v>53.0439386769723</v>
      </c>
      <c r="W17" s="40" t="n">
        <f aca="false">IF(in_TaxRegime=1,in_MicroRate*W8,MAX(0,in_ProfitTax*W15))</f>
        <v>57.0941130166631</v>
      </c>
      <c r="X17" s="40" t="n">
        <f aca="false">IF(in_TaxRegime=1,in_MicroRate*X8,MAX(0,in_ProfitTax*X15))</f>
        <v>61.1727221261632</v>
      </c>
      <c r="Y17" s="40" t="n">
        <f aca="false">IF(in_TaxRegime=1,in_MicroRate*Y8,MAX(0,in_ProfitTax*Y15))</f>
        <v>65.2789129623784</v>
      </c>
      <c r="Z17" s="40" t="n">
        <f aca="false">IF(in_TaxRegime=1,in_MicroRate*Z8,MAX(0,in_ProfitTax*Z15))</f>
        <v>69.411858073507</v>
      </c>
      <c r="AA17" s="40" t="n">
        <f aca="false">IF(in_TaxRegime=1,in_MicroRate*AA8,MAX(0,in_ProfitTax*AA15))</f>
        <v>77.2492925728669</v>
      </c>
      <c r="AB17" s="40" t="n">
        <f aca="false">IF(in_TaxRegime=1,in_MicroRate*AB8,MAX(0,in_ProfitTax*AB15))</f>
        <v>83.6761271706809</v>
      </c>
      <c r="AC17" s="40" t="n">
        <f aca="false">IF(in_TaxRegime=1,in_MicroRate*AC8,MAX(0,in_ProfitTax*AC15))</f>
        <v>90.1200727305605</v>
      </c>
      <c r="AD17" s="40" t="n">
        <f aca="false">IF(in_TaxRegime=1,in_MicroRate*AD8,MAX(0,in_ProfitTax*AD15))</f>
        <v>96.5806159236436</v>
      </c>
      <c r="AE17" s="40" t="n">
        <f aca="false">IF(in_TaxRegime=1,in_MicroRate*AE8,MAX(0,in_ProfitTax*AE15))</f>
        <v>103.057258820934</v>
      </c>
      <c r="AF17" s="40" t="n">
        <f aca="false">IF(in_TaxRegime=1,in_MicroRate*AF8,MAX(0,in_ProfitTax*AF15))</f>
        <v>109.549518431306</v>
      </c>
      <c r="AG17" s="40" t="n">
        <f aca="false">IF(in_TaxRegime=1,in_MicroRate*AG8,MAX(0,in_ProfitTax*AG15))</f>
        <v>116.056926253367</v>
      </c>
      <c r="AH17" s="40" t="n">
        <f aca="false">IF(in_TaxRegime=1,in_MicroRate*AH8,MAX(0,in_ProfitTax*AH15))</f>
        <v>122.579027840766</v>
      </c>
      <c r="AI17" s="40" t="n">
        <f aca="false">IF(in_TaxRegime=1,in_MicroRate*AI8,MAX(0,in_ProfitTax*AI15))</f>
        <v>129.115382380543</v>
      </c>
      <c r="AJ17" s="40" t="n">
        <f aca="false">IF(in_TaxRegime=1,in_MicroRate*AJ8,MAX(0,in_ProfitTax*AJ15))</f>
        <v>135.665562284127</v>
      </c>
      <c r="AK17" s="40" t="n">
        <f aca="false">IF(in_TaxRegime=1,in_MicroRate*AK8,MAX(0,in_ProfitTax*AK15))</f>
        <v>142.229152790603</v>
      </c>
      <c r="AL17" s="40" t="n">
        <f aca="false">IF(in_TaxRegime=1,in_MicroRate*AL8,MAX(0,in_ProfitTax*AL15))</f>
        <v>148.805751581885</v>
      </c>
    </row>
    <row r="18" customFormat="false" ht="15" hidden="false" customHeight="false" outlineLevel="0" collapsed="false">
      <c r="A18" s="3" t="s">
        <v>283</v>
      </c>
      <c r="B18" s="13" t="s">
        <v>62</v>
      </c>
      <c r="C18" s="41" t="n">
        <f aca="false">C15-C17</f>
        <v>-7817.25</v>
      </c>
      <c r="D18" s="41" t="n">
        <f aca="false">D15-D17</f>
        <v>-9747.4054125</v>
      </c>
      <c r="E18" s="41" t="n">
        <f aca="false">E15-E17</f>
        <v>-8031.281162625</v>
      </c>
      <c r="F18" s="41" t="n">
        <f aca="false">F15-F17</f>
        <v>-7664.15399024625</v>
      </c>
      <c r="G18" s="41" t="n">
        <f aca="false">G15-G17</f>
        <v>-9092.16031303886</v>
      </c>
      <c r="H18" s="41" t="n">
        <f aca="false">H15-H17</f>
        <v>-6825.3890661477</v>
      </c>
      <c r="I18" s="41" t="n">
        <f aca="false">I15-I17</f>
        <v>-5836.91303266327</v>
      </c>
      <c r="J18" s="41" t="n">
        <f aca="false">J15-J17</f>
        <v>-5673.63446918337</v>
      </c>
      <c r="K18" s="41" t="n">
        <f aca="false">K15-K17</f>
        <v>-5512.06881460787</v>
      </c>
      <c r="L18" s="41" t="n">
        <f aca="false">L15-L17</f>
        <v>-5292.21866966963</v>
      </c>
      <c r="M18" s="41" t="n">
        <f aca="false">M15-M17</f>
        <v>-5134.01527707954</v>
      </c>
      <c r="N18" s="41" t="n">
        <f aca="false">N15-N17</f>
        <v>-11270.4653022672</v>
      </c>
      <c r="O18" s="41" t="n">
        <f aca="false">O15-O17</f>
        <v>-7068.95210204017</v>
      </c>
      <c r="P18" s="41" t="n">
        <f aca="false">P15-P17</f>
        <v>-6716.66782207897</v>
      </c>
      <c r="Q18" s="41" t="n">
        <f aca="false">Q15-Q17</f>
        <v>-6363.1834689166</v>
      </c>
      <c r="R18" s="41" t="n">
        <f aca="false">R15-R17</f>
        <v>-6008.5980195491</v>
      </c>
      <c r="S18" s="41" t="n">
        <f aca="false">S15-S17</f>
        <v>-5653.00748166262</v>
      </c>
      <c r="T18" s="41" t="n">
        <f aca="false">T15-T17</f>
        <v>-5296.50498271275</v>
      </c>
      <c r="U18" s="41" t="n">
        <f aca="false">U15-U17</f>
        <v>-4939.18085633136</v>
      </c>
      <c r="V18" s="41" t="n">
        <f aca="false">V15-V17</f>
        <v>-4581.12272614142</v>
      </c>
      <c r="W18" s="41" t="n">
        <f aca="false">W15-W17</f>
        <v>-4220.31642705718</v>
      </c>
      <c r="X18" s="41" t="n">
        <f aca="false">X15-X17</f>
        <v>-3856.84440414546</v>
      </c>
      <c r="Y18" s="41" t="n">
        <f aca="false">Y15-Y17</f>
        <v>-3490.7866291211</v>
      </c>
      <c r="Z18" s="41" t="n">
        <f aca="false">Z15-Z17</f>
        <v>-3122.22067454747</v>
      </c>
      <c r="AA18" s="41" t="n">
        <f aca="false">AA15-AA17</f>
        <v>-7510.18984440339</v>
      </c>
      <c r="AB18" s="41" t="n">
        <f aca="false">AB15-AB17</f>
        <v>-6926.55485295628</v>
      </c>
      <c r="AC18" s="41" t="n">
        <f aca="false">AC15-AC17</f>
        <v>-6342.4152217126</v>
      </c>
      <c r="AD18" s="41" t="n">
        <f aca="false">AD15-AD17</f>
        <v>-5757.81915163622</v>
      </c>
      <c r="AE18" s="41" t="n">
        <f aca="false">AE15-AE17</f>
        <v>-5172.81339766213</v>
      </c>
      <c r="AF18" s="41" t="n">
        <f aca="false">AF15-AF17</f>
        <v>-4587.44331207727</v>
      </c>
      <c r="AG18" s="41" t="n">
        <f aca="false">AG15-AG17</f>
        <v>-4001.75288659995</v>
      </c>
      <c r="AH18" s="41" t="n">
        <f aca="false">AH15-AH17</f>
        <v>-3415.78479319695</v>
      </c>
      <c r="AI18" s="41" t="n">
        <f aca="false">AI15-AI17</f>
        <v>-2828.47836467604</v>
      </c>
      <c r="AJ18" s="41" t="n">
        <f aca="false">AJ15-AJ17</f>
        <v>-2239.87375109076</v>
      </c>
      <c r="AK18" s="41" t="n">
        <f aca="false">AK15-AK17</f>
        <v>-1650.00989799304</v>
      </c>
      <c r="AL18" s="41" t="n">
        <f aca="false">AL15-AL17</f>
        <v>-1058.92458256825</v>
      </c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customFormat="false" ht="15" hidden="false" customHeight="false" outlineLevel="0" collapsed="false">
      <c r="A20" s="15" t="s">
        <v>284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</row>
    <row r="21" customFormat="false" ht="15" hidden="false" customHeight="false" outlineLevel="0" collapsed="false">
      <c r="A21" s="1" t="s">
        <v>285</v>
      </c>
      <c r="B21" s="13" t="s">
        <v>62</v>
      </c>
      <c r="C21" s="40" t="n">
        <f aca="false">in_OpeningCash</f>
        <v>0</v>
      </c>
      <c r="D21" s="40" t="n">
        <f aca="false">C23</f>
        <v>142182.75</v>
      </c>
      <c r="E21" s="40" t="n">
        <f aca="false">D23</f>
        <v>132435.3445875</v>
      </c>
      <c r="F21" s="40" t="n">
        <f aca="false">E23</f>
        <v>124404.063424875</v>
      </c>
      <c r="G21" s="40" t="n">
        <f aca="false">F23</f>
        <v>116739.909434629</v>
      </c>
      <c r="H21" s="40" t="n">
        <f aca="false">G23</f>
        <v>107647.74912159</v>
      </c>
      <c r="I21" s="40" t="n">
        <f aca="false">H23</f>
        <v>100822.360055442</v>
      </c>
      <c r="J21" s="40" t="n">
        <f aca="false">I23</f>
        <v>94985.4470227789</v>
      </c>
      <c r="K21" s="40" t="n">
        <f aca="false">J23</f>
        <v>89311.8125535956</v>
      </c>
      <c r="L21" s="40" t="n">
        <f aca="false">K23</f>
        <v>83799.7437389877</v>
      </c>
      <c r="M21" s="40" t="n">
        <f aca="false">L23</f>
        <v>78507.5250693181</v>
      </c>
      <c r="N21" s="40" t="n">
        <f aca="false">M23</f>
        <v>73373.5097922385</v>
      </c>
      <c r="O21" s="40" t="n">
        <f aca="false">N23</f>
        <v>62103.0444899714</v>
      </c>
      <c r="P21" s="40" t="n">
        <f aca="false">O23</f>
        <v>55034.0923879312</v>
      </c>
      <c r="Q21" s="40" t="n">
        <f aca="false">P23</f>
        <v>48317.4245658522</v>
      </c>
      <c r="R21" s="40" t="n">
        <f aca="false">Q23</f>
        <v>41954.2410969356</v>
      </c>
      <c r="S21" s="40" t="n">
        <f aca="false">R23</f>
        <v>35945.6430773865</v>
      </c>
      <c r="T21" s="40" t="n">
        <f aca="false">S23</f>
        <v>30292.6355957239</v>
      </c>
      <c r="U21" s="40" t="n">
        <f aca="false">T23</f>
        <v>24996.1306130112</v>
      </c>
      <c r="V21" s="40" t="n">
        <f aca="false">U23</f>
        <v>20056.9497566798</v>
      </c>
      <c r="W21" s="40" t="n">
        <f aca="false">V23</f>
        <v>15475.8270305384</v>
      </c>
      <c r="X21" s="40" t="n">
        <f aca="false">W23</f>
        <v>11255.5106034812</v>
      </c>
      <c r="Y21" s="40" t="n">
        <f aca="false">X23</f>
        <v>7398.66619933575</v>
      </c>
      <c r="Z21" s="40" t="n">
        <f aca="false">Y23</f>
        <v>3907.87957021465</v>
      </c>
      <c r="AA21" s="40" t="n">
        <f aca="false">Z23</f>
        <v>785.658895667184</v>
      </c>
      <c r="AB21" s="40" t="n">
        <f aca="false">AA23</f>
        <v>-6724.5309487362</v>
      </c>
      <c r="AC21" s="40" t="n">
        <f aca="false">AB23</f>
        <v>-13651.0858016925</v>
      </c>
      <c r="AD21" s="40" t="n">
        <f aca="false">AC23</f>
        <v>-19993.5010234051</v>
      </c>
      <c r="AE21" s="40" t="n">
        <f aca="false">AD23</f>
        <v>-25751.3201750413</v>
      </c>
      <c r="AF21" s="40" t="n">
        <f aca="false">AE23</f>
        <v>-30924.1335727034</v>
      </c>
      <c r="AG21" s="40" t="n">
        <f aca="false">AF23</f>
        <v>-35511.5768847807</v>
      </c>
      <c r="AH21" s="40" t="n">
        <f aca="false">AG23</f>
        <v>-39513.3297713806</v>
      </c>
      <c r="AI21" s="40" t="n">
        <f aca="false">AH23</f>
        <v>-42929.1145645776</v>
      </c>
      <c r="AJ21" s="40" t="n">
        <f aca="false">AI23</f>
        <v>-45757.5929292536</v>
      </c>
      <c r="AK21" s="40" t="n">
        <f aca="false">AJ23</f>
        <v>-47997.4666803444</v>
      </c>
      <c r="AL21" s="40" t="n">
        <f aca="false">AK23</f>
        <v>-49647.4765783374</v>
      </c>
    </row>
    <row r="22" customFormat="false" ht="15" hidden="false" customHeight="false" outlineLevel="0" collapsed="false">
      <c r="A22" s="1" t="s">
        <v>286</v>
      </c>
      <c r="B22" s="13" t="s">
        <v>62</v>
      </c>
      <c r="C22" s="40" t="n">
        <f aca="false">IF(C$3=in_FundingMonth,in_Round,0)</f>
        <v>150000</v>
      </c>
      <c r="D22" s="40" t="n">
        <f aca="false">IF(D$3=in_FundingMonth,in_Round,0)</f>
        <v>0</v>
      </c>
      <c r="E22" s="40" t="n">
        <f aca="false">IF(E$3=in_FundingMonth,in_Round,0)</f>
        <v>0</v>
      </c>
      <c r="F22" s="40" t="n">
        <f aca="false">IF(F$3=in_FundingMonth,in_Round,0)</f>
        <v>0</v>
      </c>
      <c r="G22" s="40" t="n">
        <f aca="false">IF(G$3=in_FundingMonth,in_Round,0)</f>
        <v>0</v>
      </c>
      <c r="H22" s="40" t="n">
        <f aca="false">IF(H$3=in_FundingMonth,in_Round,0)</f>
        <v>0</v>
      </c>
      <c r="I22" s="40" t="n">
        <f aca="false">IF(I$3=in_FundingMonth,in_Round,0)</f>
        <v>0</v>
      </c>
      <c r="J22" s="40" t="n">
        <f aca="false">IF(J$3=in_FundingMonth,in_Round,0)</f>
        <v>0</v>
      </c>
      <c r="K22" s="40" t="n">
        <f aca="false">IF(K$3=in_FundingMonth,in_Round,0)</f>
        <v>0</v>
      </c>
      <c r="L22" s="40" t="n">
        <f aca="false">IF(L$3=in_FundingMonth,in_Round,0)</f>
        <v>0</v>
      </c>
      <c r="M22" s="40" t="n">
        <f aca="false">IF(M$3=in_FundingMonth,in_Round,0)</f>
        <v>0</v>
      </c>
      <c r="N22" s="40" t="n">
        <f aca="false">IF(N$3=in_FundingMonth,in_Round,0)</f>
        <v>0</v>
      </c>
      <c r="O22" s="40" t="n">
        <f aca="false">IF(O$3=in_FundingMonth,in_Round,0)</f>
        <v>0</v>
      </c>
      <c r="P22" s="40" t="n">
        <f aca="false">IF(P$3=in_FundingMonth,in_Round,0)</f>
        <v>0</v>
      </c>
      <c r="Q22" s="40" t="n">
        <f aca="false">IF(Q$3=in_FundingMonth,in_Round,0)</f>
        <v>0</v>
      </c>
      <c r="R22" s="40" t="n">
        <f aca="false">IF(R$3=in_FundingMonth,in_Round,0)</f>
        <v>0</v>
      </c>
      <c r="S22" s="40" t="n">
        <f aca="false">IF(S$3=in_FundingMonth,in_Round,0)</f>
        <v>0</v>
      </c>
      <c r="T22" s="40" t="n">
        <f aca="false">IF(T$3=in_FundingMonth,in_Round,0)</f>
        <v>0</v>
      </c>
      <c r="U22" s="40" t="n">
        <f aca="false">IF(U$3=in_FundingMonth,in_Round,0)</f>
        <v>0</v>
      </c>
      <c r="V22" s="40" t="n">
        <f aca="false">IF(V$3=in_FundingMonth,in_Round,0)</f>
        <v>0</v>
      </c>
      <c r="W22" s="40" t="n">
        <f aca="false">IF(W$3=in_FundingMonth,in_Round,0)</f>
        <v>0</v>
      </c>
      <c r="X22" s="40" t="n">
        <f aca="false">IF(X$3=in_FundingMonth,in_Round,0)</f>
        <v>0</v>
      </c>
      <c r="Y22" s="40" t="n">
        <f aca="false">IF(Y$3=in_FundingMonth,in_Round,0)</f>
        <v>0</v>
      </c>
      <c r="Z22" s="40" t="n">
        <f aca="false">IF(Z$3=in_FundingMonth,in_Round,0)</f>
        <v>0</v>
      </c>
      <c r="AA22" s="40" t="n">
        <f aca="false">IF(AA$3=in_FundingMonth,in_Round,0)</f>
        <v>0</v>
      </c>
      <c r="AB22" s="40" t="n">
        <f aca="false">IF(AB$3=in_FundingMonth,in_Round,0)</f>
        <v>0</v>
      </c>
      <c r="AC22" s="40" t="n">
        <f aca="false">IF(AC$3=in_FundingMonth,in_Round,0)</f>
        <v>0</v>
      </c>
      <c r="AD22" s="40" t="n">
        <f aca="false">IF(AD$3=in_FundingMonth,in_Round,0)</f>
        <v>0</v>
      </c>
      <c r="AE22" s="40" t="n">
        <f aca="false">IF(AE$3=in_FundingMonth,in_Round,0)</f>
        <v>0</v>
      </c>
      <c r="AF22" s="40" t="n">
        <f aca="false">IF(AF$3=in_FundingMonth,in_Round,0)</f>
        <v>0</v>
      </c>
      <c r="AG22" s="40" t="n">
        <f aca="false">IF(AG$3=in_FundingMonth,in_Round,0)</f>
        <v>0</v>
      </c>
      <c r="AH22" s="40" t="n">
        <f aca="false">IF(AH$3=in_FundingMonth,in_Round,0)</f>
        <v>0</v>
      </c>
      <c r="AI22" s="40" t="n">
        <f aca="false">IF(AI$3=in_FundingMonth,in_Round,0)</f>
        <v>0</v>
      </c>
      <c r="AJ22" s="40" t="n">
        <f aca="false">IF(AJ$3=in_FundingMonth,in_Round,0)</f>
        <v>0</v>
      </c>
      <c r="AK22" s="40" t="n">
        <f aca="false">IF(AK$3=in_FundingMonth,in_Round,0)</f>
        <v>0</v>
      </c>
      <c r="AL22" s="40" t="n">
        <f aca="false">IF(AL$3=in_FundingMonth,in_Round,0)</f>
        <v>0</v>
      </c>
    </row>
    <row r="23" customFormat="false" ht="15" hidden="false" customHeight="false" outlineLevel="0" collapsed="false">
      <c r="A23" s="3" t="s">
        <v>287</v>
      </c>
      <c r="B23" s="13" t="s">
        <v>62</v>
      </c>
      <c r="C23" s="41" t="n">
        <f aca="false">C21+C22+C18</f>
        <v>142182.75</v>
      </c>
      <c r="D23" s="41" t="n">
        <f aca="false">D21+D22+D18</f>
        <v>132435.3445875</v>
      </c>
      <c r="E23" s="41" t="n">
        <f aca="false">E21+E22+E18</f>
        <v>124404.063424875</v>
      </c>
      <c r="F23" s="41" t="n">
        <f aca="false">F21+F22+F18</f>
        <v>116739.909434629</v>
      </c>
      <c r="G23" s="41" t="n">
        <f aca="false">G21+G22+G18</f>
        <v>107647.74912159</v>
      </c>
      <c r="H23" s="41" t="n">
        <f aca="false">H21+H22+H18</f>
        <v>100822.360055442</v>
      </c>
      <c r="I23" s="41" t="n">
        <f aca="false">I21+I22+I18</f>
        <v>94985.4470227789</v>
      </c>
      <c r="J23" s="41" t="n">
        <f aca="false">J21+J22+J18</f>
        <v>89311.8125535956</v>
      </c>
      <c r="K23" s="41" t="n">
        <f aca="false">K21+K22+K18</f>
        <v>83799.7437389877</v>
      </c>
      <c r="L23" s="41" t="n">
        <f aca="false">L21+L22+L18</f>
        <v>78507.5250693181</v>
      </c>
      <c r="M23" s="41" t="n">
        <f aca="false">M21+M22+M18</f>
        <v>73373.5097922385</v>
      </c>
      <c r="N23" s="41" t="n">
        <f aca="false">N21+N22+N18</f>
        <v>62103.0444899714</v>
      </c>
      <c r="O23" s="41" t="n">
        <f aca="false">O21+O22+O18</f>
        <v>55034.0923879312</v>
      </c>
      <c r="P23" s="41" t="n">
        <f aca="false">P21+P22+P18</f>
        <v>48317.4245658522</v>
      </c>
      <c r="Q23" s="41" t="n">
        <f aca="false">Q21+Q22+Q18</f>
        <v>41954.2410969356</v>
      </c>
      <c r="R23" s="41" t="n">
        <f aca="false">R21+R22+R18</f>
        <v>35945.6430773865</v>
      </c>
      <c r="S23" s="41" t="n">
        <f aca="false">S21+S22+S18</f>
        <v>30292.6355957239</v>
      </c>
      <c r="T23" s="41" t="n">
        <f aca="false">T21+T22+T18</f>
        <v>24996.1306130112</v>
      </c>
      <c r="U23" s="41" t="n">
        <f aca="false">U21+U22+U18</f>
        <v>20056.9497566798</v>
      </c>
      <c r="V23" s="41" t="n">
        <f aca="false">V21+V22+V18</f>
        <v>15475.8270305384</v>
      </c>
      <c r="W23" s="41" t="n">
        <f aca="false">W21+W22+W18</f>
        <v>11255.5106034812</v>
      </c>
      <c r="X23" s="41" t="n">
        <f aca="false">X21+X22+X18</f>
        <v>7398.66619933575</v>
      </c>
      <c r="Y23" s="41" t="n">
        <f aca="false">Y21+Y22+Y18</f>
        <v>3907.87957021465</v>
      </c>
      <c r="Z23" s="41" t="n">
        <f aca="false">Z21+Z22+Z18</f>
        <v>785.658895667184</v>
      </c>
      <c r="AA23" s="41" t="n">
        <f aca="false">AA21+AA22+AA18</f>
        <v>-6724.5309487362</v>
      </c>
      <c r="AB23" s="41" t="n">
        <f aca="false">AB21+AB22+AB18</f>
        <v>-13651.0858016925</v>
      </c>
      <c r="AC23" s="41" t="n">
        <f aca="false">AC21+AC22+AC18</f>
        <v>-19993.5010234051</v>
      </c>
      <c r="AD23" s="41" t="n">
        <f aca="false">AD21+AD22+AD18</f>
        <v>-25751.3201750413</v>
      </c>
      <c r="AE23" s="41" t="n">
        <f aca="false">AE21+AE22+AE18</f>
        <v>-30924.1335727034</v>
      </c>
      <c r="AF23" s="41" t="n">
        <f aca="false">AF21+AF22+AF18</f>
        <v>-35511.5768847807</v>
      </c>
      <c r="AG23" s="41" t="n">
        <f aca="false">AG21+AG22+AG18</f>
        <v>-39513.3297713806</v>
      </c>
      <c r="AH23" s="41" t="n">
        <f aca="false">AH21+AH22+AH18</f>
        <v>-42929.1145645776</v>
      </c>
      <c r="AI23" s="41" t="n">
        <f aca="false">AI21+AI22+AI18</f>
        <v>-45757.5929292536</v>
      </c>
      <c r="AJ23" s="41" t="n">
        <f aca="false">AJ21+AJ22+AJ18</f>
        <v>-47997.4666803444</v>
      </c>
      <c r="AK23" s="41" t="n">
        <f aca="false">AK21+AK22+AK18</f>
        <v>-49647.4765783374</v>
      </c>
      <c r="AL23" s="41" t="n">
        <f aca="false">AL21+AL22+AL18</f>
        <v>-50706.4011609057</v>
      </c>
    </row>
    <row r="24" customFormat="false" ht="15" hidden="false" customHeight="false" outlineLevel="0" collapsed="false">
      <c r="A24" s="1" t="s">
        <v>288</v>
      </c>
      <c r="B24" s="13" t="s">
        <v>62</v>
      </c>
      <c r="C24" s="40" t="n">
        <f aca="false">Costs!C34</f>
        <v>7817.25</v>
      </c>
      <c r="D24" s="40" t="n">
        <f aca="false">C24+Costs!D34</f>
        <v>17744.3156625</v>
      </c>
      <c r="E24" s="40" t="n">
        <f aca="false">D24+Costs!E34</f>
        <v>26129.527517625</v>
      </c>
      <c r="F24" s="40" t="n">
        <f aca="false">E24+Costs!F34</f>
        <v>34599.3985295963</v>
      </c>
      <c r="G24" s="40" t="n">
        <f aca="false">F24+Costs!G34</f>
        <v>44652.7646037084</v>
      </c>
      <c r="H24" s="40" t="n">
        <f aca="false">G24+Costs!H34</f>
        <v>52623.1703080971</v>
      </c>
      <c r="I24" s="40" t="n">
        <f aca="false">H24+Costs!I34</f>
        <v>59788.1089298542</v>
      </c>
      <c r="J24" s="40" t="n">
        <f aca="false">I24+Costs!J34</f>
        <v>66972.0000704586</v>
      </c>
      <c r="K24" s="40" t="n">
        <f aca="false">J24+Costs!K34</f>
        <v>74175.8021063448</v>
      </c>
      <c r="L24" s="40" t="n">
        <f aca="false">K24+Costs!L34</f>
        <v>81340.4986506545</v>
      </c>
      <c r="M24" s="40" t="n">
        <f aca="false">L24+Costs!M34</f>
        <v>88527.0265161348</v>
      </c>
      <c r="N24" s="40" t="n">
        <f aca="false">M24+Costs!N34</f>
        <v>102029.350479151</v>
      </c>
      <c r="O24" s="40" t="n">
        <f aca="false">N24+Costs!O34</f>
        <v>111629.366169664</v>
      </c>
      <c r="P24" s="40" t="n">
        <f aca="false">O24+Costs!P34</f>
        <v>121255.765010061</v>
      </c>
      <c r="Q24" s="40" t="n">
        <f aca="false">P24+Costs!Q34</f>
        <v>130910.830964247</v>
      </c>
      <c r="R24" s="40" t="n">
        <f aca="false">Q24+Costs!R34</f>
        <v>140596.842452007</v>
      </c>
      <c r="S24" s="40" t="n">
        <f aca="false">R24+Costs!S34</f>
        <v>150316.072515334</v>
      </c>
      <c r="T24" s="40" t="n">
        <f aca="false">S24+Costs!T34</f>
        <v>160070.788979761</v>
      </c>
      <c r="U24" s="40" t="n">
        <f aca="false">T24+Costs!U34</f>
        <v>169863.254610856</v>
      </c>
      <c r="V24" s="40" t="n">
        <f aca="false">U24+Costs!V34</f>
        <v>179695.727266017</v>
      </c>
      <c r="W24" s="40" t="n">
        <f aca="false">V24+Costs!W34</f>
        <v>189568.360881724</v>
      </c>
      <c r="X24" s="40" t="n">
        <f aca="false">W24+Costs!X34</f>
        <v>199481.30477636</v>
      </c>
      <c r="Y24" s="40" t="n">
        <f aca="false">X24+Costs!Y34</f>
        <v>209434.703788756</v>
      </c>
      <c r="Z24" s="40" t="n">
        <f aca="false">Y24+Costs!Z34</f>
        <v>219428.698412581</v>
      </c>
      <c r="AA24" s="40" t="n">
        <f aca="false">Z24+Costs!AA34</f>
        <v>234586.568221698</v>
      </c>
      <c r="AB24" s="40" t="n">
        <f aca="false">AA24+Costs!AB34</f>
        <v>249797.059664552</v>
      </c>
      <c r="AC24" s="40" t="n">
        <f aca="false">AB24+Costs!AC34</f>
        <v>265061.36208659</v>
      </c>
      <c r="AD24" s="40" t="n">
        <f aca="false">AC24+Costs!AD34</f>
        <v>280380.662214667</v>
      </c>
      <c r="AE24" s="40" t="n">
        <f aca="false">AD24+Costs!AE34</f>
        <v>295756.144235601</v>
      </c>
      <c r="AF24" s="40" t="n">
        <f aca="false">AE24+Costs!AF34</f>
        <v>311188.989872378</v>
      </c>
      <c r="AG24" s="40" t="n">
        <f aca="false">AF24+Costs!AG34</f>
        <v>326680.378458061</v>
      </c>
      <c r="AH24" s="40" t="n">
        <f aca="false">AG24+Costs!AH34</f>
        <v>342231.487007494</v>
      </c>
      <c r="AI24" s="40" t="n">
        <f aca="false">AH24+Costs!AI34</f>
        <v>357842.388227844</v>
      </c>
      <c r="AJ24" s="40" t="n">
        <f aca="false">AI24+Costs!AJ34</f>
        <v>373513.152645063</v>
      </c>
      <c r="AK24" s="40" t="n">
        <f aca="false">AJ24+Costs!AK34</f>
        <v>389243.848669326</v>
      </c>
      <c r="AL24" s="40" t="n">
        <f aca="false">AK24+Costs!AL34</f>
        <v>405034.542658501</v>
      </c>
    </row>
    <row r="25" customFormat="false" ht="15" hidden="false" customHeight="false" outlineLevel="0" collapsed="false">
      <c r="A25" s="1" t="s">
        <v>289</v>
      </c>
      <c r="B25" s="13" t="s">
        <v>62</v>
      </c>
      <c r="C25" s="40" t="n">
        <f aca="false">C18</f>
        <v>-7817.25</v>
      </c>
      <c r="D25" s="40" t="n">
        <f aca="false">C25+D18</f>
        <v>-17564.6554125</v>
      </c>
      <c r="E25" s="40" t="n">
        <f aca="false">D25+E18</f>
        <v>-25595.936575125</v>
      </c>
      <c r="F25" s="40" t="n">
        <f aca="false">E25+F18</f>
        <v>-33260.0905653713</v>
      </c>
      <c r="G25" s="40" t="n">
        <f aca="false">F25+G18</f>
        <v>-42352.2508784101</v>
      </c>
      <c r="H25" s="40" t="n">
        <f aca="false">G25+H18</f>
        <v>-49177.6399445578</v>
      </c>
      <c r="I25" s="40" t="n">
        <f aca="false">H25+I18</f>
        <v>-55014.5529772211</v>
      </c>
      <c r="J25" s="40" t="n">
        <f aca="false">I25+J18</f>
        <v>-60688.1874464044</v>
      </c>
      <c r="K25" s="40" t="n">
        <f aca="false">J25+K18</f>
        <v>-66200.2562610123</v>
      </c>
      <c r="L25" s="40" t="n">
        <f aca="false">K25+L18</f>
        <v>-71492.4749306819</v>
      </c>
      <c r="M25" s="40" t="n">
        <f aca="false">L25+M18</f>
        <v>-76626.4902077615</v>
      </c>
      <c r="N25" s="40" t="n">
        <f aca="false">M25+N18</f>
        <v>-87896.9555100286</v>
      </c>
      <c r="O25" s="40" t="n">
        <f aca="false">N25+O18</f>
        <v>-94965.9076120688</v>
      </c>
      <c r="P25" s="40" t="n">
        <f aca="false">O25+P18</f>
        <v>-101682.575434148</v>
      </c>
      <c r="Q25" s="40" t="n">
        <f aca="false">P25+Q18</f>
        <v>-108045.758903064</v>
      </c>
      <c r="R25" s="40" t="n">
        <f aca="false">Q25+R18</f>
        <v>-114054.356922613</v>
      </c>
      <c r="S25" s="40" t="n">
        <f aca="false">R25+S18</f>
        <v>-119707.364404276</v>
      </c>
      <c r="T25" s="40" t="n">
        <f aca="false">S25+T18</f>
        <v>-125003.869386989</v>
      </c>
      <c r="U25" s="40" t="n">
        <f aca="false">T25+U18</f>
        <v>-129943.05024332</v>
      </c>
      <c r="V25" s="40" t="n">
        <f aca="false">U25+V18</f>
        <v>-134524.172969462</v>
      </c>
      <c r="W25" s="40" t="n">
        <f aca="false">V25+W18</f>
        <v>-138744.489396519</v>
      </c>
      <c r="X25" s="40" t="n">
        <f aca="false">W25+X18</f>
        <v>-142601.333800664</v>
      </c>
      <c r="Y25" s="40" t="n">
        <f aca="false">X25+Y18</f>
        <v>-146092.120429785</v>
      </c>
      <c r="Z25" s="40" t="n">
        <f aca="false">Y25+Z18</f>
        <v>-149214.341104333</v>
      </c>
      <c r="AA25" s="40" t="n">
        <f aca="false">Z25+AA18</f>
        <v>-156724.530948736</v>
      </c>
      <c r="AB25" s="40" t="n">
        <f aca="false">AA25+AB18</f>
        <v>-163651.085801693</v>
      </c>
      <c r="AC25" s="40" t="n">
        <f aca="false">AB25+AC18</f>
        <v>-169993.501023405</v>
      </c>
      <c r="AD25" s="40" t="n">
        <f aca="false">AC25+AD18</f>
        <v>-175751.320175041</v>
      </c>
      <c r="AE25" s="40" t="n">
        <f aca="false">AD25+AE18</f>
        <v>-180924.133572703</v>
      </c>
      <c r="AF25" s="40" t="n">
        <f aca="false">AE25+AF18</f>
        <v>-185511.576884781</v>
      </c>
      <c r="AG25" s="40" t="n">
        <f aca="false">AF25+AG18</f>
        <v>-189513.329771381</v>
      </c>
      <c r="AH25" s="40" t="n">
        <f aca="false">AG25+AH18</f>
        <v>-192929.114564578</v>
      </c>
      <c r="AI25" s="40" t="n">
        <f aca="false">AH25+AI18</f>
        <v>-195757.592929254</v>
      </c>
      <c r="AJ25" s="40" t="n">
        <f aca="false">AI25+AJ18</f>
        <v>-197997.466680344</v>
      </c>
      <c r="AK25" s="40" t="n">
        <f aca="false">AJ25+AK18</f>
        <v>-199647.476578337</v>
      </c>
      <c r="AL25" s="40" t="n">
        <f aca="false">AK25+AL18</f>
        <v>-200706.401160906</v>
      </c>
    </row>
    <row r="26" customFormat="false" ht="15" hidden="false" customHeight="false" outlineLevel="0" collapsed="false">
      <c r="A26" s="1" t="s">
        <v>290</v>
      </c>
      <c r="B26" s="13" t="s">
        <v>291</v>
      </c>
      <c r="C26" s="46" t="n">
        <f aca="false">IF(C23&lt;0,1,0)</f>
        <v>0</v>
      </c>
      <c r="D26" s="46" t="n">
        <f aca="false">IF(D23&lt;0,1,0)</f>
        <v>0</v>
      </c>
      <c r="E26" s="46" t="n">
        <f aca="false">IF(E23&lt;0,1,0)</f>
        <v>0</v>
      </c>
      <c r="F26" s="46" t="n">
        <f aca="false">IF(F23&lt;0,1,0)</f>
        <v>0</v>
      </c>
      <c r="G26" s="46" t="n">
        <f aca="false">IF(G23&lt;0,1,0)</f>
        <v>0</v>
      </c>
      <c r="H26" s="46" t="n">
        <f aca="false">IF(H23&lt;0,1,0)</f>
        <v>0</v>
      </c>
      <c r="I26" s="46" t="n">
        <f aca="false">IF(I23&lt;0,1,0)</f>
        <v>0</v>
      </c>
      <c r="J26" s="46" t="n">
        <f aca="false">IF(J23&lt;0,1,0)</f>
        <v>0</v>
      </c>
      <c r="K26" s="46" t="n">
        <f aca="false">IF(K23&lt;0,1,0)</f>
        <v>0</v>
      </c>
      <c r="L26" s="46" t="n">
        <f aca="false">IF(L23&lt;0,1,0)</f>
        <v>0</v>
      </c>
      <c r="M26" s="46" t="n">
        <f aca="false">IF(M23&lt;0,1,0)</f>
        <v>0</v>
      </c>
      <c r="N26" s="46" t="n">
        <f aca="false">IF(N23&lt;0,1,0)</f>
        <v>0</v>
      </c>
      <c r="O26" s="46" t="n">
        <f aca="false">IF(O23&lt;0,1,0)</f>
        <v>0</v>
      </c>
      <c r="P26" s="46" t="n">
        <f aca="false">IF(P23&lt;0,1,0)</f>
        <v>0</v>
      </c>
      <c r="Q26" s="46" t="n">
        <f aca="false">IF(Q23&lt;0,1,0)</f>
        <v>0</v>
      </c>
      <c r="R26" s="46" t="n">
        <f aca="false">IF(R23&lt;0,1,0)</f>
        <v>0</v>
      </c>
      <c r="S26" s="46" t="n">
        <f aca="false">IF(S23&lt;0,1,0)</f>
        <v>0</v>
      </c>
      <c r="T26" s="46" t="n">
        <f aca="false">IF(T23&lt;0,1,0)</f>
        <v>0</v>
      </c>
      <c r="U26" s="46" t="n">
        <f aca="false">IF(U23&lt;0,1,0)</f>
        <v>0</v>
      </c>
      <c r="V26" s="46" t="n">
        <f aca="false">IF(V23&lt;0,1,0)</f>
        <v>0</v>
      </c>
      <c r="W26" s="46" t="n">
        <f aca="false">IF(W23&lt;0,1,0)</f>
        <v>0</v>
      </c>
      <c r="X26" s="46" t="n">
        <f aca="false">IF(X23&lt;0,1,0)</f>
        <v>0</v>
      </c>
      <c r="Y26" s="46" t="n">
        <f aca="false">IF(Y23&lt;0,1,0)</f>
        <v>0</v>
      </c>
      <c r="Z26" s="46" t="n">
        <f aca="false">IF(Z23&lt;0,1,0)</f>
        <v>0</v>
      </c>
      <c r="AA26" s="46" t="n">
        <f aca="false">IF(AA23&lt;0,1,0)</f>
        <v>1</v>
      </c>
      <c r="AB26" s="46" t="n">
        <f aca="false">IF(AB23&lt;0,1,0)</f>
        <v>1</v>
      </c>
      <c r="AC26" s="46" t="n">
        <f aca="false">IF(AC23&lt;0,1,0)</f>
        <v>1</v>
      </c>
      <c r="AD26" s="46" t="n">
        <f aca="false">IF(AD23&lt;0,1,0)</f>
        <v>1</v>
      </c>
      <c r="AE26" s="46" t="n">
        <f aca="false">IF(AE23&lt;0,1,0)</f>
        <v>1</v>
      </c>
      <c r="AF26" s="46" t="n">
        <f aca="false">IF(AF23&lt;0,1,0)</f>
        <v>1</v>
      </c>
      <c r="AG26" s="46" t="n">
        <f aca="false">IF(AG23&lt;0,1,0)</f>
        <v>1</v>
      </c>
      <c r="AH26" s="46" t="n">
        <f aca="false">IF(AH23&lt;0,1,0)</f>
        <v>1</v>
      </c>
      <c r="AI26" s="46" t="n">
        <f aca="false">IF(AI23&lt;0,1,0)</f>
        <v>1</v>
      </c>
      <c r="AJ26" s="46" t="n">
        <f aca="false">IF(AJ23&lt;0,1,0)</f>
        <v>1</v>
      </c>
      <c r="AK26" s="46" t="n">
        <f aca="false">IF(AK23&lt;0,1,0)</f>
        <v>1</v>
      </c>
      <c r="AL26" s="46" t="n">
        <f aca="false">IF(AL23&lt;0,1,0)</f>
        <v>1</v>
      </c>
    </row>
    <row r="27" customFormat="false" ht="15" hidden="false" customHeight="false" outlineLevel="0" collapsed="false">
      <c r="A27" s="1" t="s">
        <v>292</v>
      </c>
      <c r="B27" s="13" t="s">
        <v>291</v>
      </c>
      <c r="C27" s="46" t="n">
        <f aca="false">IF(C18&gt;=0,1,0)</f>
        <v>0</v>
      </c>
      <c r="D27" s="46" t="n">
        <f aca="false">IF(D18&gt;=0,1,0)</f>
        <v>0</v>
      </c>
      <c r="E27" s="46" t="n">
        <f aca="false">IF(E18&gt;=0,1,0)</f>
        <v>0</v>
      </c>
      <c r="F27" s="46" t="n">
        <f aca="false">IF(F18&gt;=0,1,0)</f>
        <v>0</v>
      </c>
      <c r="G27" s="46" t="n">
        <f aca="false">IF(G18&gt;=0,1,0)</f>
        <v>0</v>
      </c>
      <c r="H27" s="46" t="n">
        <f aca="false">IF(H18&gt;=0,1,0)</f>
        <v>0</v>
      </c>
      <c r="I27" s="46" t="n">
        <f aca="false">IF(I18&gt;=0,1,0)</f>
        <v>0</v>
      </c>
      <c r="J27" s="46" t="n">
        <f aca="false">IF(J18&gt;=0,1,0)</f>
        <v>0</v>
      </c>
      <c r="K27" s="46" t="n">
        <f aca="false">IF(K18&gt;=0,1,0)</f>
        <v>0</v>
      </c>
      <c r="L27" s="46" t="n">
        <f aca="false">IF(L18&gt;=0,1,0)</f>
        <v>0</v>
      </c>
      <c r="M27" s="46" t="n">
        <f aca="false">IF(M18&gt;=0,1,0)</f>
        <v>0</v>
      </c>
      <c r="N27" s="46" t="n">
        <f aca="false">IF(N18&gt;=0,1,0)</f>
        <v>0</v>
      </c>
      <c r="O27" s="46" t="n">
        <f aca="false">IF(O18&gt;=0,1,0)</f>
        <v>0</v>
      </c>
      <c r="P27" s="46" t="n">
        <f aca="false">IF(P18&gt;=0,1,0)</f>
        <v>0</v>
      </c>
      <c r="Q27" s="46" t="n">
        <f aca="false">IF(Q18&gt;=0,1,0)</f>
        <v>0</v>
      </c>
      <c r="R27" s="46" t="n">
        <f aca="false">IF(R18&gt;=0,1,0)</f>
        <v>0</v>
      </c>
      <c r="S27" s="46" t="n">
        <f aca="false">IF(S18&gt;=0,1,0)</f>
        <v>0</v>
      </c>
      <c r="T27" s="46" t="n">
        <f aca="false">IF(T18&gt;=0,1,0)</f>
        <v>0</v>
      </c>
      <c r="U27" s="46" t="n">
        <f aca="false">IF(U18&gt;=0,1,0)</f>
        <v>0</v>
      </c>
      <c r="V27" s="46" t="n">
        <f aca="false">IF(V18&gt;=0,1,0)</f>
        <v>0</v>
      </c>
      <c r="W27" s="46" t="n">
        <f aca="false">IF(W18&gt;=0,1,0)</f>
        <v>0</v>
      </c>
      <c r="X27" s="46" t="n">
        <f aca="false">IF(X18&gt;=0,1,0)</f>
        <v>0</v>
      </c>
      <c r="Y27" s="46" t="n">
        <f aca="false">IF(Y18&gt;=0,1,0)</f>
        <v>0</v>
      </c>
      <c r="Z27" s="46" t="n">
        <f aca="false">IF(Z18&gt;=0,1,0)</f>
        <v>0</v>
      </c>
      <c r="AA27" s="46" t="n">
        <f aca="false">IF(AA18&gt;=0,1,0)</f>
        <v>0</v>
      </c>
      <c r="AB27" s="46" t="n">
        <f aca="false">IF(AB18&gt;=0,1,0)</f>
        <v>0</v>
      </c>
      <c r="AC27" s="46" t="n">
        <f aca="false">IF(AC18&gt;=0,1,0)</f>
        <v>0</v>
      </c>
      <c r="AD27" s="46" t="n">
        <f aca="false">IF(AD18&gt;=0,1,0)</f>
        <v>0</v>
      </c>
      <c r="AE27" s="46" t="n">
        <f aca="false">IF(AE18&gt;=0,1,0)</f>
        <v>0</v>
      </c>
      <c r="AF27" s="46" t="n">
        <f aca="false">IF(AF18&gt;=0,1,0)</f>
        <v>0</v>
      </c>
      <c r="AG27" s="46" t="n">
        <f aca="false">IF(AG18&gt;=0,1,0)</f>
        <v>0</v>
      </c>
      <c r="AH27" s="46" t="n">
        <f aca="false">IF(AH18&gt;=0,1,0)</f>
        <v>0</v>
      </c>
      <c r="AI27" s="46" t="n">
        <f aca="false">IF(AI18&gt;=0,1,0)</f>
        <v>0</v>
      </c>
      <c r="AJ27" s="46" t="n">
        <f aca="false">IF(AJ18&gt;=0,1,0)</f>
        <v>0</v>
      </c>
      <c r="AK27" s="46" t="n">
        <f aca="false">IF(AK18&gt;=0,1,0)</f>
        <v>0</v>
      </c>
      <c r="AL27" s="46" t="n">
        <f aca="false">IF(AL18&gt;=0,1,0)</f>
        <v>0</v>
      </c>
    </row>
    <row r="28" customFormat="false" ht="15" hidden="false" customHeight="false" outlineLevel="0" collapsed="false">
      <c r="A28" s="1" t="s">
        <v>293</v>
      </c>
      <c r="B28" s="13" t="s">
        <v>62</v>
      </c>
      <c r="C28" s="40" t="n">
        <f aca="false">C23-(in_Round-in_OptionA)*IF(C$3&gt;=in_FundingMonth,1,0)</f>
        <v>140682.75</v>
      </c>
      <c r="D28" s="40" t="n">
        <f aca="false">D23-(in_Round-in_OptionA)*IF(D$3&gt;=in_FundingMonth,1,0)</f>
        <v>130935.3445875</v>
      </c>
      <c r="E28" s="40" t="n">
        <f aca="false">E23-(in_Round-in_OptionA)*IF(E$3&gt;=in_FundingMonth,1,0)</f>
        <v>122904.063424875</v>
      </c>
      <c r="F28" s="40" t="n">
        <f aca="false">F23-(in_Round-in_OptionA)*IF(F$3&gt;=in_FundingMonth,1,0)</f>
        <v>115239.909434629</v>
      </c>
      <c r="G28" s="40" t="n">
        <f aca="false">G23-(in_Round-in_OptionA)*IF(G$3&gt;=in_FundingMonth,1,0)</f>
        <v>106147.74912159</v>
      </c>
      <c r="H28" s="40" t="n">
        <f aca="false">H23-(in_Round-in_OptionA)*IF(H$3&gt;=in_FundingMonth,1,0)</f>
        <v>99322.3600554422</v>
      </c>
      <c r="I28" s="40" t="n">
        <f aca="false">I23-(in_Round-in_OptionA)*IF(I$3&gt;=in_FundingMonth,1,0)</f>
        <v>93485.4470227789</v>
      </c>
      <c r="J28" s="40" t="n">
        <f aca="false">J23-(in_Round-in_OptionA)*IF(J$3&gt;=in_FundingMonth,1,0)</f>
        <v>87811.8125535956</v>
      </c>
      <c r="K28" s="40" t="n">
        <f aca="false">K23-(in_Round-in_OptionA)*IF(K$3&gt;=in_FundingMonth,1,0)</f>
        <v>82299.7437389877</v>
      </c>
      <c r="L28" s="40" t="n">
        <f aca="false">L23-(in_Round-in_OptionA)*IF(L$3&gt;=in_FundingMonth,1,0)</f>
        <v>77007.5250693181</v>
      </c>
      <c r="M28" s="40" t="n">
        <f aca="false">M23-(in_Round-in_OptionA)*IF(M$3&gt;=in_FundingMonth,1,0)</f>
        <v>71873.5097922385</v>
      </c>
      <c r="N28" s="40" t="n">
        <f aca="false">N23-(in_Round-in_OptionA)*IF(N$3&gt;=in_FundingMonth,1,0)</f>
        <v>60603.0444899714</v>
      </c>
      <c r="O28" s="40" t="n">
        <f aca="false">O23-(in_Round-in_OptionA)*IF(O$3&gt;=in_FundingMonth,1,0)</f>
        <v>53534.0923879312</v>
      </c>
      <c r="P28" s="40" t="n">
        <f aca="false">P23-(in_Round-in_OptionA)*IF(P$3&gt;=in_FundingMonth,1,0)</f>
        <v>46817.4245658522</v>
      </c>
      <c r="Q28" s="40" t="n">
        <f aca="false">Q23-(in_Round-in_OptionA)*IF(Q$3&gt;=in_FundingMonth,1,0)</f>
        <v>40454.2410969356</v>
      </c>
      <c r="R28" s="40" t="n">
        <f aca="false">R23-(in_Round-in_OptionA)*IF(R$3&gt;=in_FundingMonth,1,0)</f>
        <v>34445.6430773865</v>
      </c>
      <c r="S28" s="40" t="n">
        <f aca="false">S23-(in_Round-in_OptionA)*IF(S$3&gt;=in_FundingMonth,1,0)</f>
        <v>28792.6355957239</v>
      </c>
      <c r="T28" s="40" t="n">
        <f aca="false">T23-(in_Round-in_OptionA)*IF(T$3&gt;=in_FundingMonth,1,0)</f>
        <v>23496.1306130112</v>
      </c>
      <c r="U28" s="40" t="n">
        <f aca="false">U23-(in_Round-in_OptionA)*IF(U$3&gt;=in_FundingMonth,1,0)</f>
        <v>18556.9497566798</v>
      </c>
      <c r="V28" s="40" t="n">
        <f aca="false">V23-(in_Round-in_OptionA)*IF(V$3&gt;=in_FundingMonth,1,0)</f>
        <v>13975.8270305384</v>
      </c>
      <c r="W28" s="40" t="n">
        <f aca="false">W23-(in_Round-in_OptionA)*IF(W$3&gt;=in_FundingMonth,1,0)</f>
        <v>9755.51060348121</v>
      </c>
      <c r="X28" s="40" t="n">
        <f aca="false">X23-(in_Round-in_OptionA)*IF(X$3&gt;=in_FundingMonth,1,0)</f>
        <v>5898.66619933575</v>
      </c>
      <c r="Y28" s="40" t="n">
        <f aca="false">Y23-(in_Round-in_OptionA)*IF(Y$3&gt;=in_FundingMonth,1,0)</f>
        <v>2407.87957021465</v>
      </c>
      <c r="Z28" s="40" t="n">
        <f aca="false">Z23-(in_Round-in_OptionA)*IF(Z$3&gt;=in_FundingMonth,1,0)</f>
        <v>-714.341104332816</v>
      </c>
      <c r="AA28" s="40" t="n">
        <f aca="false">AA23-(in_Round-in_OptionA)*IF(AA$3&gt;=in_FundingMonth,1,0)</f>
        <v>-8224.5309487362</v>
      </c>
      <c r="AB28" s="40" t="n">
        <f aca="false">AB23-(in_Round-in_OptionA)*IF(AB$3&gt;=in_FundingMonth,1,0)</f>
        <v>-15151.0858016925</v>
      </c>
      <c r="AC28" s="40" t="n">
        <f aca="false">AC23-(in_Round-in_OptionA)*IF(AC$3&gt;=in_FundingMonth,1,0)</f>
        <v>-21493.5010234051</v>
      </c>
      <c r="AD28" s="40" t="n">
        <f aca="false">AD23-(in_Round-in_OptionA)*IF(AD$3&gt;=in_FundingMonth,1,0)</f>
        <v>-27251.3201750413</v>
      </c>
      <c r="AE28" s="40" t="n">
        <f aca="false">AE23-(in_Round-in_OptionA)*IF(AE$3&gt;=in_FundingMonth,1,0)</f>
        <v>-32424.1335727034</v>
      </c>
      <c r="AF28" s="40" t="n">
        <f aca="false">AF23-(in_Round-in_OptionA)*IF(AF$3&gt;=in_FundingMonth,1,0)</f>
        <v>-37011.5768847807</v>
      </c>
      <c r="AG28" s="40" t="n">
        <f aca="false">AG23-(in_Round-in_OptionA)*IF(AG$3&gt;=in_FundingMonth,1,0)</f>
        <v>-41013.3297713806</v>
      </c>
      <c r="AH28" s="40" t="n">
        <f aca="false">AH23-(in_Round-in_OptionA)*IF(AH$3&gt;=in_FundingMonth,1,0)</f>
        <v>-44429.1145645776</v>
      </c>
      <c r="AI28" s="40" t="n">
        <f aca="false">AI23-(in_Round-in_OptionA)*IF(AI$3&gt;=in_FundingMonth,1,0)</f>
        <v>-47257.5929292536</v>
      </c>
      <c r="AJ28" s="40" t="n">
        <f aca="false">AJ23-(in_Round-in_OptionA)*IF(AJ$3&gt;=in_FundingMonth,1,0)</f>
        <v>-49497.4666803444</v>
      </c>
      <c r="AK28" s="40" t="n">
        <f aca="false">AK23-(in_Round-in_OptionA)*IF(AK$3&gt;=in_FundingMonth,1,0)</f>
        <v>-51147.4765783374</v>
      </c>
      <c r="AL28" s="40" t="n">
        <f aca="false">AL23-(in_Round-in_OptionA)*IF(AL$3&gt;=in_FundingMonth,1,0)</f>
        <v>-52206.4011609057</v>
      </c>
    </row>
    <row r="29" customFormat="false" ht="15" hidden="false" customHeight="false" outlineLevel="0" collapsed="false">
      <c r="A29" s="1" t="s">
        <v>294</v>
      </c>
      <c r="B29" s="13" t="s">
        <v>291</v>
      </c>
      <c r="C29" s="46" t="n">
        <f aca="false">IF(C28&lt;0,1,0)</f>
        <v>0</v>
      </c>
      <c r="D29" s="46" t="n">
        <f aca="false">IF(D28&lt;0,1,0)</f>
        <v>0</v>
      </c>
      <c r="E29" s="46" t="n">
        <f aca="false">IF(E28&lt;0,1,0)</f>
        <v>0</v>
      </c>
      <c r="F29" s="46" t="n">
        <f aca="false">IF(F28&lt;0,1,0)</f>
        <v>0</v>
      </c>
      <c r="G29" s="46" t="n">
        <f aca="false">IF(G28&lt;0,1,0)</f>
        <v>0</v>
      </c>
      <c r="H29" s="46" t="n">
        <f aca="false">IF(H28&lt;0,1,0)</f>
        <v>0</v>
      </c>
      <c r="I29" s="46" t="n">
        <f aca="false">IF(I28&lt;0,1,0)</f>
        <v>0</v>
      </c>
      <c r="J29" s="46" t="n">
        <f aca="false">IF(J28&lt;0,1,0)</f>
        <v>0</v>
      </c>
      <c r="K29" s="46" t="n">
        <f aca="false">IF(K28&lt;0,1,0)</f>
        <v>0</v>
      </c>
      <c r="L29" s="46" t="n">
        <f aca="false">IF(L28&lt;0,1,0)</f>
        <v>0</v>
      </c>
      <c r="M29" s="46" t="n">
        <f aca="false">IF(M28&lt;0,1,0)</f>
        <v>0</v>
      </c>
      <c r="N29" s="46" t="n">
        <f aca="false">IF(N28&lt;0,1,0)</f>
        <v>0</v>
      </c>
      <c r="O29" s="46" t="n">
        <f aca="false">IF(O28&lt;0,1,0)</f>
        <v>0</v>
      </c>
      <c r="P29" s="46" t="n">
        <f aca="false">IF(P28&lt;0,1,0)</f>
        <v>0</v>
      </c>
      <c r="Q29" s="46" t="n">
        <f aca="false">IF(Q28&lt;0,1,0)</f>
        <v>0</v>
      </c>
      <c r="R29" s="46" t="n">
        <f aca="false">IF(R28&lt;0,1,0)</f>
        <v>0</v>
      </c>
      <c r="S29" s="46" t="n">
        <f aca="false">IF(S28&lt;0,1,0)</f>
        <v>0</v>
      </c>
      <c r="T29" s="46" t="n">
        <f aca="false">IF(T28&lt;0,1,0)</f>
        <v>0</v>
      </c>
      <c r="U29" s="46" t="n">
        <f aca="false">IF(U28&lt;0,1,0)</f>
        <v>0</v>
      </c>
      <c r="V29" s="46" t="n">
        <f aca="false">IF(V28&lt;0,1,0)</f>
        <v>0</v>
      </c>
      <c r="W29" s="46" t="n">
        <f aca="false">IF(W28&lt;0,1,0)</f>
        <v>0</v>
      </c>
      <c r="X29" s="46" t="n">
        <f aca="false">IF(X28&lt;0,1,0)</f>
        <v>0</v>
      </c>
      <c r="Y29" s="46" t="n">
        <f aca="false">IF(Y28&lt;0,1,0)</f>
        <v>0</v>
      </c>
      <c r="Z29" s="46" t="n">
        <f aca="false">IF(Z28&lt;0,1,0)</f>
        <v>1</v>
      </c>
      <c r="AA29" s="46" t="n">
        <f aca="false">IF(AA28&lt;0,1,0)</f>
        <v>1</v>
      </c>
      <c r="AB29" s="46" t="n">
        <f aca="false">IF(AB28&lt;0,1,0)</f>
        <v>1</v>
      </c>
      <c r="AC29" s="46" t="n">
        <f aca="false">IF(AC28&lt;0,1,0)</f>
        <v>1</v>
      </c>
      <c r="AD29" s="46" t="n">
        <f aca="false">IF(AD28&lt;0,1,0)</f>
        <v>1</v>
      </c>
      <c r="AE29" s="46" t="n">
        <f aca="false">IF(AE28&lt;0,1,0)</f>
        <v>1</v>
      </c>
      <c r="AF29" s="46" t="n">
        <f aca="false">IF(AF28&lt;0,1,0)</f>
        <v>1</v>
      </c>
      <c r="AG29" s="46" t="n">
        <f aca="false">IF(AG28&lt;0,1,0)</f>
        <v>1</v>
      </c>
      <c r="AH29" s="46" t="n">
        <f aca="false">IF(AH28&lt;0,1,0)</f>
        <v>1</v>
      </c>
      <c r="AI29" s="46" t="n">
        <f aca="false">IF(AI28&lt;0,1,0)</f>
        <v>1</v>
      </c>
      <c r="AJ29" s="46" t="n">
        <f aca="false">IF(AJ28&lt;0,1,0)</f>
        <v>1</v>
      </c>
      <c r="AK29" s="46" t="n">
        <f aca="false">IF(AK28&lt;0,1,0)</f>
        <v>1</v>
      </c>
      <c r="AL29" s="46" t="n">
        <f aca="false">IF(AL28&lt;0,1,0)</f>
        <v>1</v>
      </c>
    </row>
    <row r="30" customFormat="false" ht="15" hidden="false" customHeight="false" outlineLevel="0" collapsed="false">
      <c r="A30" s="1" t="s">
        <v>295</v>
      </c>
      <c r="B30" s="13" t="s">
        <v>62</v>
      </c>
      <c r="C30" s="40" t="n">
        <f aca="false">C25</f>
        <v>-7817.25</v>
      </c>
      <c r="D30" s="40" t="n">
        <f aca="false">MIN(C30,D25)</f>
        <v>-17564.6554125</v>
      </c>
      <c r="E30" s="40" t="n">
        <f aca="false">MIN(D30,E25)</f>
        <v>-25595.936575125</v>
      </c>
      <c r="F30" s="40" t="n">
        <f aca="false">MIN(E30,F25)</f>
        <v>-33260.0905653713</v>
      </c>
      <c r="G30" s="40" t="n">
        <f aca="false">MIN(F30,G25)</f>
        <v>-42352.2508784101</v>
      </c>
      <c r="H30" s="40" t="n">
        <f aca="false">MIN(G30,H25)</f>
        <v>-49177.6399445578</v>
      </c>
      <c r="I30" s="40" t="n">
        <f aca="false">MIN(H30,I25)</f>
        <v>-55014.5529772211</v>
      </c>
      <c r="J30" s="40" t="n">
        <f aca="false">MIN(I30,J25)</f>
        <v>-60688.1874464044</v>
      </c>
      <c r="K30" s="40" t="n">
        <f aca="false">MIN(J30,K25)</f>
        <v>-66200.2562610123</v>
      </c>
      <c r="L30" s="40" t="n">
        <f aca="false">MIN(K30,L25)</f>
        <v>-71492.4749306819</v>
      </c>
      <c r="M30" s="40" t="n">
        <f aca="false">MIN(L30,M25)</f>
        <v>-76626.4902077615</v>
      </c>
      <c r="N30" s="40" t="n">
        <f aca="false">MIN(M30,N25)</f>
        <v>-87896.9555100286</v>
      </c>
      <c r="O30" s="40" t="n">
        <f aca="false">MIN(N30,O25)</f>
        <v>-94965.9076120688</v>
      </c>
      <c r="P30" s="40" t="n">
        <f aca="false">MIN(O30,P25)</f>
        <v>-101682.575434148</v>
      </c>
      <c r="Q30" s="40" t="n">
        <f aca="false">MIN(P30,Q25)</f>
        <v>-108045.758903064</v>
      </c>
      <c r="R30" s="40" t="n">
        <f aca="false">MIN(Q30,R25)</f>
        <v>-114054.356922613</v>
      </c>
      <c r="S30" s="40" t="n">
        <f aca="false">MIN(R30,S25)</f>
        <v>-119707.364404276</v>
      </c>
      <c r="T30" s="40" t="n">
        <f aca="false">MIN(S30,T25)</f>
        <v>-125003.869386989</v>
      </c>
      <c r="U30" s="40" t="n">
        <f aca="false">MIN(T30,U25)</f>
        <v>-129943.05024332</v>
      </c>
      <c r="V30" s="40" t="n">
        <f aca="false">MIN(U30,V25)</f>
        <v>-134524.172969462</v>
      </c>
      <c r="W30" s="40" t="n">
        <f aca="false">MIN(V30,W25)</f>
        <v>-138744.489396519</v>
      </c>
      <c r="X30" s="40" t="n">
        <f aca="false">MIN(W30,X25)</f>
        <v>-142601.333800664</v>
      </c>
      <c r="Y30" s="40" t="n">
        <f aca="false">MIN(X30,Y25)</f>
        <v>-146092.120429785</v>
      </c>
      <c r="Z30" s="40" t="n">
        <f aca="false">MIN(Y30,Z25)</f>
        <v>-149214.341104333</v>
      </c>
      <c r="AA30" s="40" t="n">
        <f aca="false">MIN(Z30,AA25)</f>
        <v>-156724.530948736</v>
      </c>
      <c r="AB30" s="40" t="n">
        <f aca="false">MIN(AA30,AB25)</f>
        <v>-163651.085801693</v>
      </c>
      <c r="AC30" s="40" t="n">
        <f aca="false">MIN(AB30,AC25)</f>
        <v>-169993.501023405</v>
      </c>
      <c r="AD30" s="40" t="n">
        <f aca="false">MIN(AC30,AD25)</f>
        <v>-175751.320175041</v>
      </c>
      <c r="AE30" s="40" t="n">
        <f aca="false">MIN(AD30,AE25)</f>
        <v>-180924.133572703</v>
      </c>
      <c r="AF30" s="40" t="n">
        <f aca="false">MIN(AE30,AF25)</f>
        <v>-185511.576884781</v>
      </c>
      <c r="AG30" s="40" t="n">
        <f aca="false">MIN(AF30,AG25)</f>
        <v>-189513.329771381</v>
      </c>
      <c r="AH30" s="40" t="n">
        <f aca="false">MIN(AG30,AH25)</f>
        <v>-192929.114564578</v>
      </c>
      <c r="AI30" s="40" t="n">
        <f aca="false">MIN(AH30,AI25)</f>
        <v>-195757.592929254</v>
      </c>
      <c r="AJ30" s="40" t="n">
        <f aca="false">MIN(AI30,AJ25)</f>
        <v>-197997.466680344</v>
      </c>
      <c r="AK30" s="40" t="n">
        <f aca="false">MIN(AJ30,AK25)</f>
        <v>-199647.476578337</v>
      </c>
      <c r="AL30" s="40" t="n">
        <f aca="false">MIN(AK30,AL25)</f>
        <v>-200706.401160906</v>
      </c>
    </row>
    <row r="31" customFormat="false" ht="15" hidden="false" customHeight="false" outlineLevel="0" collapsed="false">
      <c r="A31" s="15" t="s">
        <v>296</v>
      </c>
      <c r="B31" s="16"/>
      <c r="C31" s="16"/>
      <c r="D31" s="16"/>
      <c r="E31" s="16"/>
      <c r="F31" s="1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customFormat="false" ht="15" hidden="false" customHeight="false" outlineLevel="0" collapsed="false">
      <c r="A32" s="1" t="s">
        <v>297</v>
      </c>
      <c r="B32" s="1"/>
      <c r="C32" s="22" t="n">
        <f aca="false">in_VVTicket*(1+in_MinPrivatePct)</f>
        <v>148500</v>
      </c>
      <c r="D32" s="1"/>
      <c r="E32" s="13" t="s">
        <v>298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customFormat="false" ht="15" hidden="false" customHeight="false" outlineLevel="0" collapsed="false">
      <c r="A33" s="1" t="s">
        <v>299</v>
      </c>
      <c r="B33" s="1"/>
      <c r="C33" s="47" t="n">
        <f aca="false">COUNTIF('P&amp;L &amp; Cash'!$C$24:$AL$24,"&lt;="&amp;(in_Round+in_OpeningCash))</f>
        <v>16</v>
      </c>
      <c r="D33" s="1"/>
      <c r="E33" s="13" t="s">
        <v>300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customFormat="false" ht="15" hidden="false" customHeight="false" outlineLevel="0" collapsed="false">
      <c r="A34" s="1" t="s">
        <v>301</v>
      </c>
      <c r="B34" s="1"/>
      <c r="C34" s="47" t="n">
        <f aca="false">COUNTIF('P&amp;L &amp; Cash'!$C$24:$AL$24,"&lt;="&amp;(in_OptionA+in_OpeningCash))</f>
        <v>16</v>
      </c>
      <c r="D34" s="1"/>
      <c r="E34" s="1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customFormat="false" ht="15" hidden="false" customHeight="false" outlineLevel="0" collapsed="false">
      <c r="A35" s="1" t="s">
        <v>302</v>
      </c>
      <c r="B35" s="1"/>
      <c r="C35" s="47" t="n">
        <f aca="false">IF(MAX('P&amp;L &amp; Cash'!$C$26:$AL$26)=0,"&gt; 36",MATCH(1,'P&amp;L &amp; Cash'!$C$26:$AL$26,0)-1)</f>
        <v>24</v>
      </c>
      <c r="D35" s="1"/>
      <c r="E35" s="13" t="s">
        <v>303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customFormat="false" ht="15" hidden="false" customHeight="false" outlineLevel="0" collapsed="false">
      <c r="A36" s="1" t="s">
        <v>304</v>
      </c>
      <c r="B36" s="1"/>
      <c r="C36" s="47" t="n">
        <f aca="false">IF(MAX('P&amp;L &amp; Cash'!$C$29:$AL$29)=0,"&gt; 36",MATCH(1,'P&amp;L &amp; Cash'!$C$29:$AL$29,0)-1)</f>
        <v>23</v>
      </c>
      <c r="D36" s="1"/>
      <c r="E36" s="1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customFormat="false" ht="15" hidden="false" customHeight="false" outlineLevel="0" collapsed="false">
      <c r="A37" s="1" t="s">
        <v>305</v>
      </c>
      <c r="B37" s="1"/>
      <c r="C37" s="48" t="str">
        <f aca="false">IF(MAX('P&amp;L &amp; Cash'!$C$27:$AL$27)=0,"not within 36 months",MATCH(1,'P&amp;L &amp; Cash'!$C$27:$AL$27,0))</f>
        <v>not within 36 months</v>
      </c>
      <c r="D37" s="42" t="str">
        <f aca="false">IF(ISNUMBER(C37),INDEX(Revenue!$C$4:$AL$4,1,C37),"-")</f>
        <v>-</v>
      </c>
      <c r="E37" s="13" t="s">
        <v>306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customFormat="false" ht="15" hidden="false" customHeight="false" outlineLevel="0" collapsed="false">
      <c r="A38" s="1" t="s">
        <v>22</v>
      </c>
      <c r="B38" s="1"/>
      <c r="C38" s="22" t="n">
        <f aca="false">MIN('P&amp;L &amp; Cash'!$C$23:$AL$23)</f>
        <v>-50706.4011609057</v>
      </c>
      <c r="D38" s="1"/>
      <c r="E38" s="1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customFormat="false" ht="15" hidden="false" customHeight="false" outlineLevel="0" collapsed="false">
      <c r="A39" s="1" t="s">
        <v>307</v>
      </c>
      <c r="B39" s="1"/>
      <c r="C39" s="48" t="n">
        <f aca="false">MATCH(in_CashLow,'P&amp;L &amp; Cash'!$C$23:$AL$23,0)</f>
        <v>36</v>
      </c>
      <c r="D39" s="42" t="n">
        <f aca="false">INDEX(Revenue!$C$4:$AL$4,1,C39)</f>
        <v>47453</v>
      </c>
      <c r="E39" s="1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customFormat="false" ht="15" hidden="false" customHeight="false" outlineLevel="0" collapsed="false">
      <c r="A40" s="1" t="s">
        <v>308</v>
      </c>
      <c r="B40" s="1"/>
      <c r="C40" s="22" t="n">
        <f aca="false">MIN('P&amp;L &amp; Cash'!$C$28:$AL$28)</f>
        <v>-52206.4011609057</v>
      </c>
      <c r="D40" s="1"/>
      <c r="E40" s="1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customFormat="false" ht="15" hidden="false" customHeight="false" outlineLevel="0" collapsed="false">
      <c r="A41" s="1" t="s">
        <v>309</v>
      </c>
      <c r="B41" s="1"/>
      <c r="C41" s="22" t="n">
        <f aca="false">AL23</f>
        <v>-50706.4011609057</v>
      </c>
      <c r="D41" s="1"/>
      <c r="E41" s="1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customFormat="false" ht="15" hidden="false" customHeight="false" outlineLevel="0" collapsed="false">
      <c r="A42" s="1" t="s">
        <v>310</v>
      </c>
      <c r="B42" s="1"/>
      <c r="C42" s="22" t="n">
        <f aca="false">SUMIF(Revenue!$C$5:$AL$5,1,'P&amp;L &amp; Cash'!$C$8:$AL$8)</f>
        <v>14275.1464334567</v>
      </c>
      <c r="D42" s="1"/>
      <c r="E42" s="1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customFormat="false" ht="15" hidden="false" customHeight="false" outlineLevel="0" collapsed="false">
      <c r="A43" s="1" t="s">
        <v>311</v>
      </c>
      <c r="B43" s="1"/>
      <c r="C43" s="22" t="n">
        <f aca="false">SUMIF(Revenue!$C$5:$AL$5,2,'P&amp;L &amp; Cash'!$C$8:$AL$8)</f>
        <v>56648.4468071979</v>
      </c>
      <c r="D43" s="1"/>
      <c r="E43" s="1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customFormat="false" ht="15" hidden="false" customHeight="false" outlineLevel="0" collapsed="false">
      <c r="A44" s="1" t="s">
        <v>312</v>
      </c>
      <c r="B44" s="1"/>
      <c r="C44" s="22" t="n">
        <f aca="false">SUMIF(Revenue!$C$5:$AL$5,3,'P&amp;L &amp; Cash'!$C$8:$AL$8)</f>
        <v>135468.468878128</v>
      </c>
      <c r="D44" s="1"/>
      <c r="E44" s="1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customFormat="false" ht="15" hidden="false" customHeight="false" outlineLevel="0" collapsed="false">
      <c r="A45" s="1" t="s">
        <v>313</v>
      </c>
      <c r="B45" s="1"/>
      <c r="C45" s="22" t="n">
        <f aca="false">SUMIF(Revenue!$C$5:$AL$5,1,Costs!$C$34:$AL$34)</f>
        <v>102029.350479151</v>
      </c>
      <c r="D45" s="1"/>
      <c r="E45" s="1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customFormat="false" ht="15" hidden="false" customHeight="false" outlineLevel="0" collapsed="false">
      <c r="A46" s="1" t="s">
        <v>314</v>
      </c>
      <c r="B46" s="1"/>
      <c r="C46" s="22" t="n">
        <f aca="false">SUMIF(Revenue!$C$5:$AL$5,2,Costs!$C$34:$AL$34)</f>
        <v>117399.34793343</v>
      </c>
      <c r="D46" s="1"/>
      <c r="E46" s="1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customFormat="false" ht="15" hidden="false" customHeight="false" outlineLevel="0" collapsed="false">
      <c r="A47" s="1" t="s">
        <v>315</v>
      </c>
      <c r="B47" s="1"/>
      <c r="C47" s="22" t="n">
        <f aca="false">SUMIF(Revenue!$C$5:$AL$5,3,Costs!$C$34:$AL$34)</f>
        <v>185605.84424592</v>
      </c>
      <c r="D47" s="1"/>
      <c r="E47" s="1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customFormat="false" ht="15" hidden="false" customHeight="false" outlineLevel="0" collapsed="false">
      <c r="A48" s="1" t="s">
        <v>316</v>
      </c>
      <c r="B48" s="1"/>
      <c r="C48" s="28" t="n">
        <f aca="false">MAX('P&amp;L &amp; Cash'!$C$16:$AL$16)-MIN('P&amp;L &amp; Cash'!$C$16:$AL$16)</f>
        <v>0</v>
      </c>
      <c r="D48" s="1"/>
      <c r="E48" s="1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2" t="s">
        <v>317</v>
      </c>
      <c r="B1" s="1"/>
      <c r="C1" s="1"/>
    </row>
    <row r="2" customFormat="false" ht="15" hidden="false" customHeight="false" outlineLevel="0" collapsed="false">
      <c r="A2" s="13" t="s">
        <v>318</v>
      </c>
      <c r="B2" s="1"/>
      <c r="C2" s="1"/>
    </row>
    <row r="3" customFormat="false" ht="15" hidden="false" customHeight="false" outlineLevel="0" collapsed="false">
      <c r="A3" s="1"/>
      <c r="B3" s="1"/>
      <c r="C3" s="1"/>
    </row>
    <row r="4" customFormat="false" ht="15" hidden="false" customHeight="false" outlineLevel="0" collapsed="false">
      <c r="A4" s="14" t="s">
        <v>319</v>
      </c>
      <c r="B4" s="14" t="s">
        <v>48</v>
      </c>
      <c r="C4" s="14" t="s">
        <v>320</v>
      </c>
    </row>
    <row r="5" customFormat="false" ht="15" hidden="false" customHeight="false" outlineLevel="0" collapsed="false">
      <c r="A5" s="1" t="s">
        <v>321</v>
      </c>
      <c r="B5" s="40" t="n">
        <f aca="false">SUMIF(Revenue!$C$5:$AL$5,in_UEYear,Revenue!$C$28:$AL$28)</f>
        <v>56648.4468071979</v>
      </c>
      <c r="C5" s="13"/>
    </row>
    <row r="6" customFormat="false" ht="15" hidden="false" customHeight="false" outlineLevel="0" collapsed="false">
      <c r="A6" s="1" t="s">
        <v>322</v>
      </c>
      <c r="B6" s="46" t="n">
        <f aca="false">SUMIF(Revenue!$C$5:$AL$5,in_UEYear,Revenue!$C$21:$AL$21)</f>
        <v>1133.42230506598</v>
      </c>
      <c r="C6" s="13" t="s">
        <v>323</v>
      </c>
    </row>
    <row r="7" customFormat="false" ht="15" hidden="false" customHeight="false" outlineLevel="0" collapsed="false">
      <c r="A7" s="1" t="s">
        <v>324</v>
      </c>
      <c r="B7" s="38" t="n">
        <f aca="false">IF(in_UE_CustMonths&gt;0,in_UE_Rev/in_UE_CustMonths,0)</f>
        <v>49.98</v>
      </c>
      <c r="C7" s="13" t="s">
        <v>325</v>
      </c>
    </row>
    <row r="8" customFormat="false" ht="15" hidden="false" customHeight="false" outlineLevel="0" collapsed="false">
      <c r="A8" s="1" t="s">
        <v>326</v>
      </c>
      <c r="B8" s="38" t="n">
        <f aca="false">in_InfraVar+in_PayFee*in_ARPA</f>
        <v>2.4996</v>
      </c>
      <c r="C8" s="13" t="s">
        <v>327</v>
      </c>
    </row>
    <row r="9" customFormat="false" ht="15" hidden="false" customHeight="false" outlineLevel="0" collapsed="false">
      <c r="A9" s="1" t="s">
        <v>328</v>
      </c>
      <c r="B9" s="26" t="n">
        <f aca="false">IF(in_ARPA&gt;0,(in_ARPA-in_VarCost)/in_ARPA,0)</f>
        <v>0.949987995198079</v>
      </c>
      <c r="C9" s="13" t="s">
        <v>329</v>
      </c>
    </row>
    <row r="10" customFormat="false" ht="15" hidden="false" customHeight="false" outlineLevel="0" collapsed="false">
      <c r="A10" s="1" t="s">
        <v>330</v>
      </c>
      <c r="B10" s="26" t="n">
        <f aca="false">IF(in_UE_Rev&gt;0,SUMIF(Revenue!$C$5:$AL$5,in_UEYear,'P&amp;L &amp; Cash'!$C$10:$AL$10)/in_UE_Rev,0)</f>
        <v>0.716646204822276</v>
      </c>
      <c r="C10" s="13" t="s">
        <v>331</v>
      </c>
    </row>
    <row r="11" customFormat="false" ht="15" hidden="false" customHeight="false" outlineLevel="0" collapsed="false">
      <c r="A11" s="1" t="s">
        <v>332</v>
      </c>
      <c r="B11" s="40" t="n">
        <f aca="false">SUMIF(Revenue!$C$5:$AL$5,in_UEYear,'P&amp;L &amp; Cash'!$C$13:$AL$13)</f>
        <v>60990.3504</v>
      </c>
      <c r="C11" s="13" t="s">
        <v>333</v>
      </c>
    </row>
    <row r="12" customFormat="false" ht="15" hidden="false" customHeight="false" outlineLevel="0" collapsed="false">
      <c r="A12" s="1" t="s">
        <v>334</v>
      </c>
      <c r="B12" s="46" t="n">
        <f aca="false">SUMIF(Revenue!$C$5:$AL$5,in_UEYear,Revenue!$C$18:$AL$18)</f>
        <v>122.775</v>
      </c>
      <c r="C12" s="13"/>
    </row>
    <row r="13" customFormat="false" ht="15" hidden="false" customHeight="false" outlineLevel="0" collapsed="false">
      <c r="A13" s="1" t="s">
        <v>335</v>
      </c>
      <c r="B13" s="40" t="n">
        <f aca="false">IF(in_UE_New&gt;0,in_UE_SnM/in_UE_New,0)</f>
        <v>496.765224190593</v>
      </c>
      <c r="C13" s="13" t="s">
        <v>336</v>
      </c>
    </row>
    <row r="14" customFormat="false" ht="15" hidden="false" customHeight="false" outlineLevel="0" collapsed="false">
      <c r="A14" s="1" t="s">
        <v>337</v>
      </c>
      <c r="B14" s="40" t="n">
        <f aca="false">in_CostPerTrial/in_TrialConv</f>
        <v>320</v>
      </c>
      <c r="C14" s="13" t="s">
        <v>338</v>
      </c>
    </row>
    <row r="15" customFormat="false" ht="15" hidden="false" customHeight="false" outlineLevel="0" collapsed="false">
      <c r="A15" s="1" t="s">
        <v>209</v>
      </c>
      <c r="B15" s="26" t="n">
        <f aca="false">in_Churn</f>
        <v>0.03</v>
      </c>
      <c r="C15" s="13" t="s">
        <v>339</v>
      </c>
    </row>
    <row r="16" customFormat="false" ht="15" hidden="false" customHeight="false" outlineLevel="0" collapsed="false">
      <c r="A16" s="1" t="s">
        <v>340</v>
      </c>
      <c r="B16" s="49" t="n">
        <f aca="false">IF(in_Churn&gt;0,1/in_Churn,0)</f>
        <v>33.3333333333333</v>
      </c>
      <c r="C16" s="13" t="s">
        <v>341</v>
      </c>
    </row>
    <row r="17" customFormat="false" ht="15" hidden="false" customHeight="false" outlineLevel="0" collapsed="false">
      <c r="A17" s="1" t="s">
        <v>342</v>
      </c>
      <c r="B17" s="40" t="n">
        <f aca="false">IF(in_Churn&gt;0,in_ARPA*in_CM/in_Churn,0)</f>
        <v>1582.68</v>
      </c>
      <c r="C17" s="13" t="s">
        <v>343</v>
      </c>
    </row>
    <row r="18" customFormat="false" ht="15" hidden="false" customHeight="false" outlineLevel="0" collapsed="false">
      <c r="A18" s="1" t="s">
        <v>344</v>
      </c>
      <c r="B18" s="50" t="n">
        <f aca="false">IF(in_CAC&gt;0,in_LTV/in_CAC,0)</f>
        <v>3.1859718090749</v>
      </c>
      <c r="C18" s="13" t="s">
        <v>345</v>
      </c>
    </row>
    <row r="19" customFormat="false" ht="15" hidden="false" customHeight="false" outlineLevel="0" collapsed="false">
      <c r="A19" s="1" t="s">
        <v>346</v>
      </c>
      <c r="B19" s="51" t="n">
        <f aca="false">IF(in_ARPA*in_CM&gt;0,in_CAC/(in_ARPA*in_CM),0)</f>
        <v>10.4625324173889</v>
      </c>
      <c r="C19" s="13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100"/>
  </cols>
  <sheetData>
    <row r="1" customFormat="false" ht="15" hidden="false" customHeight="false" outlineLevel="0" collapsed="false">
      <c r="A1" s="2" t="s">
        <v>348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3" t="s">
        <v>349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15" hidden="false" customHeight="false" outlineLevel="0" collapsed="false">
      <c r="A4" s="14" t="s">
        <v>47</v>
      </c>
      <c r="B4" s="14" t="s">
        <v>49</v>
      </c>
      <c r="C4" s="14" t="s">
        <v>350</v>
      </c>
      <c r="D4" s="14" t="s">
        <v>351</v>
      </c>
      <c r="E4" s="14" t="s">
        <v>352</v>
      </c>
      <c r="F4" s="14" t="s">
        <v>353</v>
      </c>
    </row>
    <row r="5" customFormat="false" ht="15" hidden="false" customHeight="false" outlineLevel="0" collapsed="false">
      <c r="A5" s="1" t="s">
        <v>183</v>
      </c>
      <c r="B5" s="1" t="s">
        <v>184</v>
      </c>
      <c r="C5" s="19" t="n">
        <v>6</v>
      </c>
      <c r="D5" s="19" t="n">
        <v>3</v>
      </c>
      <c r="E5" s="19" t="n">
        <v>10</v>
      </c>
      <c r="F5" s="13" t="s">
        <v>185</v>
      </c>
    </row>
    <row r="6" customFormat="false" ht="15" hidden="false" customHeight="false" outlineLevel="0" collapsed="false">
      <c r="A6" s="1" t="s">
        <v>186</v>
      </c>
      <c r="B6" s="1" t="s">
        <v>187</v>
      </c>
      <c r="C6" s="52" t="n">
        <v>2</v>
      </c>
      <c r="D6" s="52" t="n">
        <v>1.5</v>
      </c>
      <c r="E6" s="52" t="n">
        <v>2.5</v>
      </c>
      <c r="F6" s="13" t="s">
        <v>188</v>
      </c>
    </row>
    <row r="7" customFormat="false" ht="15" hidden="false" customHeight="false" outlineLevel="0" collapsed="false">
      <c r="A7" s="1" t="s">
        <v>189</v>
      </c>
      <c r="B7" s="1" t="s">
        <v>72</v>
      </c>
      <c r="C7" s="23" t="n">
        <v>0.5</v>
      </c>
      <c r="D7" s="23" t="n">
        <v>0.33</v>
      </c>
      <c r="E7" s="23" t="n">
        <v>0.7</v>
      </c>
      <c r="F7" s="13" t="s">
        <v>190</v>
      </c>
    </row>
    <row r="8" customFormat="false" ht="15" hidden="false" customHeight="false" outlineLevel="0" collapsed="false">
      <c r="A8" s="1" t="s">
        <v>191</v>
      </c>
      <c r="B8" s="1" t="s">
        <v>192</v>
      </c>
      <c r="C8" s="52" t="n">
        <v>2</v>
      </c>
      <c r="D8" s="52" t="n">
        <v>1</v>
      </c>
      <c r="E8" s="52" t="n">
        <v>3</v>
      </c>
      <c r="F8" s="13" t="s">
        <v>193</v>
      </c>
    </row>
    <row r="9" customFormat="false" ht="15" hidden="false" customHeight="false" outlineLevel="0" collapsed="false">
      <c r="A9" s="1" t="s">
        <v>194</v>
      </c>
      <c r="B9" s="1" t="s">
        <v>192</v>
      </c>
      <c r="C9" s="52" t="n">
        <v>3</v>
      </c>
      <c r="D9" s="52" t="n">
        <v>1.5</v>
      </c>
      <c r="E9" s="52" t="n">
        <v>5</v>
      </c>
      <c r="F9" s="13" t="s">
        <v>88</v>
      </c>
    </row>
    <row r="10" customFormat="false" ht="15" hidden="false" customHeight="false" outlineLevel="0" collapsed="false">
      <c r="A10" s="1" t="s">
        <v>195</v>
      </c>
      <c r="B10" s="1" t="s">
        <v>192</v>
      </c>
      <c r="C10" s="52" t="n">
        <v>4</v>
      </c>
      <c r="D10" s="52" t="n">
        <v>2</v>
      </c>
      <c r="E10" s="52" t="n">
        <v>6</v>
      </c>
      <c r="F10" s="13" t="s">
        <v>88</v>
      </c>
    </row>
    <row r="11" customFormat="false" ht="15" hidden="false" customHeight="false" outlineLevel="0" collapsed="false">
      <c r="A11" s="1" t="s">
        <v>196</v>
      </c>
      <c r="B11" s="1" t="s">
        <v>187</v>
      </c>
      <c r="C11" s="17" t="n">
        <v>0.2</v>
      </c>
      <c r="D11" s="17" t="n">
        <v>0.12</v>
      </c>
      <c r="E11" s="17" t="n">
        <v>0.3</v>
      </c>
      <c r="F11" s="13" t="s">
        <v>197</v>
      </c>
    </row>
    <row r="12" customFormat="false" ht="15" hidden="false" customHeight="false" outlineLevel="0" collapsed="false">
      <c r="A12" s="1" t="s">
        <v>198</v>
      </c>
      <c r="B12" s="1" t="s">
        <v>72</v>
      </c>
      <c r="C12" s="23" t="n">
        <v>0.5</v>
      </c>
      <c r="D12" s="23" t="n">
        <v>0.4</v>
      </c>
      <c r="E12" s="23" t="n">
        <v>0.6</v>
      </c>
      <c r="F12" s="13" t="s">
        <v>199</v>
      </c>
    </row>
    <row r="13" customFormat="false" ht="15" hidden="false" customHeight="false" outlineLevel="0" collapsed="false">
      <c r="A13" s="1" t="s">
        <v>200</v>
      </c>
      <c r="B13" s="1" t="s">
        <v>201</v>
      </c>
      <c r="C13" s="52" t="n">
        <v>4</v>
      </c>
      <c r="D13" s="52" t="n">
        <v>2</v>
      </c>
      <c r="E13" s="52" t="n">
        <v>8</v>
      </c>
      <c r="F13" s="13" t="s">
        <v>202</v>
      </c>
    </row>
    <row r="14" customFormat="false" ht="15" hidden="false" customHeight="false" outlineLevel="0" collapsed="false">
      <c r="A14" s="1" t="s">
        <v>203</v>
      </c>
      <c r="B14" s="1" t="s">
        <v>201</v>
      </c>
      <c r="C14" s="52" t="n">
        <v>12</v>
      </c>
      <c r="D14" s="52" t="n">
        <v>6</v>
      </c>
      <c r="E14" s="52" t="n">
        <v>20</v>
      </c>
      <c r="F14" s="13" t="s">
        <v>88</v>
      </c>
    </row>
    <row r="15" customFormat="false" ht="15" hidden="false" customHeight="false" outlineLevel="0" collapsed="false">
      <c r="A15" s="1" t="s">
        <v>204</v>
      </c>
      <c r="B15" s="1" t="s">
        <v>201</v>
      </c>
      <c r="C15" s="52" t="n">
        <v>20</v>
      </c>
      <c r="D15" s="52" t="n">
        <v>10</v>
      </c>
      <c r="E15" s="52" t="n">
        <v>35</v>
      </c>
      <c r="F15" s="13" t="s">
        <v>88</v>
      </c>
    </row>
    <row r="16" customFormat="false" ht="15" hidden="false" customHeight="false" outlineLevel="0" collapsed="false">
      <c r="A16" s="1" t="s">
        <v>205</v>
      </c>
      <c r="B16" s="1" t="s">
        <v>72</v>
      </c>
      <c r="C16" s="23" t="n">
        <v>0.25</v>
      </c>
      <c r="D16" s="23" t="n">
        <v>0.15</v>
      </c>
      <c r="E16" s="23" t="n">
        <v>0.3</v>
      </c>
      <c r="F16" s="13" t="s">
        <v>206</v>
      </c>
    </row>
    <row r="17" customFormat="false" ht="15" hidden="false" customHeight="false" outlineLevel="0" collapsed="false">
      <c r="A17" s="1" t="s">
        <v>207</v>
      </c>
      <c r="B17" s="1" t="s">
        <v>62</v>
      </c>
      <c r="C17" s="20" t="n">
        <v>80</v>
      </c>
      <c r="D17" s="20" t="n">
        <v>120</v>
      </c>
      <c r="E17" s="20" t="n">
        <v>60</v>
      </c>
      <c r="F17" s="13" t="s">
        <v>208</v>
      </c>
    </row>
    <row r="18" customFormat="false" ht="15" hidden="false" customHeight="false" outlineLevel="0" collapsed="false">
      <c r="A18" s="1" t="s">
        <v>209</v>
      </c>
      <c r="B18" s="1" t="s">
        <v>210</v>
      </c>
      <c r="C18" s="23" t="n">
        <v>0.03</v>
      </c>
      <c r="D18" s="23" t="n">
        <v>0.05</v>
      </c>
      <c r="E18" s="23" t="n">
        <v>0.02</v>
      </c>
      <c r="F18" s="13" t="s">
        <v>211</v>
      </c>
    </row>
    <row r="19" customFormat="false" ht="15" hidden="false" customHeight="false" outlineLevel="0" collapsed="false">
      <c r="A19" s="1" t="s">
        <v>212</v>
      </c>
      <c r="B19" s="1" t="s">
        <v>213</v>
      </c>
      <c r="C19" s="23" t="n">
        <v>0.05</v>
      </c>
      <c r="D19" s="23" t="n">
        <v>0</v>
      </c>
      <c r="E19" s="23" t="n">
        <v>0.08</v>
      </c>
      <c r="F19" s="13" t="s">
        <v>88</v>
      </c>
    </row>
    <row r="20" customFormat="false" ht="15" hidden="false" customHeight="false" outlineLevel="0" collapsed="false">
      <c r="A20" s="1" t="s">
        <v>214</v>
      </c>
      <c r="B20" s="1" t="s">
        <v>59</v>
      </c>
      <c r="C20" s="19" t="n">
        <v>25</v>
      </c>
      <c r="D20" s="19" t="n">
        <v>31</v>
      </c>
      <c r="E20" s="19" t="n">
        <v>19</v>
      </c>
      <c r="F20" s="13" t="s">
        <v>215</v>
      </c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</row>
    <row r="23" customFormat="false" ht="15" hidden="false" customHeight="false" outlineLevel="0" collapsed="false">
      <c r="A23" s="15" t="s">
        <v>354</v>
      </c>
      <c r="B23" s="16"/>
      <c r="C23" s="16"/>
      <c r="D23" s="16"/>
      <c r="E23" s="16"/>
      <c r="F23" s="16"/>
    </row>
    <row r="24" customFormat="false" ht="15" hidden="false" customHeight="false" outlineLevel="0" collapsed="false">
      <c r="A24" s="13" t="s">
        <v>355</v>
      </c>
      <c r="B24" s="1"/>
      <c r="C24" s="1"/>
      <c r="D24" s="1"/>
      <c r="E24" s="1"/>
      <c r="F24" s="1"/>
    </row>
    <row r="25" customFormat="false" ht="15" hidden="false" customHeight="false" outlineLevel="0" collapsed="false">
      <c r="A25" s="14" t="s">
        <v>356</v>
      </c>
      <c r="B25" s="14" t="s">
        <v>49</v>
      </c>
      <c r="C25" s="14" t="s">
        <v>350</v>
      </c>
      <c r="D25" s="14" t="s">
        <v>351</v>
      </c>
      <c r="E25" s="14" t="s">
        <v>352</v>
      </c>
      <c r="F25" s="1"/>
    </row>
    <row r="26" customFormat="false" ht="15" hidden="false" customHeight="false" outlineLevel="0" collapsed="false">
      <c r="A26" s="1" t="s">
        <v>357</v>
      </c>
      <c r="B26" s="1" t="s">
        <v>187</v>
      </c>
      <c r="C26" s="46" t="n">
        <v>47</v>
      </c>
      <c r="D26" s="46" t="n">
        <v>15</v>
      </c>
      <c r="E26" s="46" t="n">
        <v>103</v>
      </c>
      <c r="F26" s="1"/>
    </row>
    <row r="27" customFormat="false" ht="15" hidden="false" customHeight="false" outlineLevel="0" collapsed="false">
      <c r="A27" s="1" t="s">
        <v>358</v>
      </c>
      <c r="B27" s="1" t="s">
        <v>62</v>
      </c>
      <c r="C27" s="40" t="n">
        <v>2254</v>
      </c>
      <c r="D27" s="40" t="n">
        <v>702</v>
      </c>
      <c r="E27" s="40" t="n">
        <v>4892</v>
      </c>
      <c r="F27" s="1"/>
    </row>
    <row r="28" customFormat="false" ht="15" hidden="false" customHeight="false" outlineLevel="0" collapsed="false">
      <c r="A28" s="1" t="s">
        <v>359</v>
      </c>
      <c r="B28" s="1" t="s">
        <v>187</v>
      </c>
      <c r="C28" s="46" t="n">
        <v>139</v>
      </c>
      <c r="D28" s="46" t="n">
        <v>39</v>
      </c>
      <c r="E28" s="46" t="n">
        <v>313</v>
      </c>
      <c r="F28" s="1"/>
    </row>
    <row r="29" customFormat="false" ht="15" hidden="false" customHeight="false" outlineLevel="0" collapsed="false">
      <c r="A29" s="1" t="s">
        <v>360</v>
      </c>
      <c r="B29" s="1" t="s">
        <v>62</v>
      </c>
      <c r="C29" s="40" t="n">
        <v>6941</v>
      </c>
      <c r="D29" s="40" t="n">
        <v>1877</v>
      </c>
      <c r="E29" s="40" t="n">
        <v>16072</v>
      </c>
      <c r="F29" s="1"/>
    </row>
    <row r="30" customFormat="false" ht="15" hidden="false" customHeight="false" outlineLevel="0" collapsed="false">
      <c r="A30" s="1" t="s">
        <v>361</v>
      </c>
      <c r="B30" s="1" t="s">
        <v>187</v>
      </c>
      <c r="C30" s="46" t="n">
        <v>284</v>
      </c>
      <c r="D30" s="46" t="n">
        <v>74</v>
      </c>
      <c r="E30" s="46" t="n">
        <v>682</v>
      </c>
      <c r="F30" s="1"/>
    </row>
    <row r="31" customFormat="false" ht="15" hidden="false" customHeight="false" outlineLevel="0" collapsed="false">
      <c r="A31" s="1" t="s">
        <v>362</v>
      </c>
      <c r="B31" s="1" t="s">
        <v>62</v>
      </c>
      <c r="C31" s="40" t="n">
        <v>14881</v>
      </c>
      <c r="D31" s="40" t="n">
        <v>3533</v>
      </c>
      <c r="E31" s="40" t="n">
        <v>37888</v>
      </c>
      <c r="F31" s="1"/>
    </row>
    <row r="32" customFormat="false" ht="15" hidden="false" customHeight="false" outlineLevel="0" collapsed="false">
      <c r="A32" s="1" t="s">
        <v>363</v>
      </c>
      <c r="B32" s="1" t="s">
        <v>62</v>
      </c>
      <c r="C32" s="40" t="n">
        <v>178567</v>
      </c>
      <c r="D32" s="40" t="n">
        <v>42401</v>
      </c>
      <c r="E32" s="40" t="n">
        <v>454657</v>
      </c>
      <c r="F32" s="1"/>
    </row>
    <row r="33" customFormat="false" ht="15" hidden="false" customHeight="false" outlineLevel="0" collapsed="false">
      <c r="A33" s="1" t="s">
        <v>305</v>
      </c>
      <c r="B33" s="1" t="s">
        <v>59</v>
      </c>
      <c r="C33" s="53" t="s">
        <v>364</v>
      </c>
      <c r="D33" s="53" t="s">
        <v>364</v>
      </c>
      <c r="E33" s="46" t="n">
        <v>22</v>
      </c>
      <c r="F33" s="1"/>
    </row>
    <row r="34" customFormat="false" ht="15" hidden="false" customHeight="false" outlineLevel="0" collapsed="false">
      <c r="A34" s="1" t="s">
        <v>22</v>
      </c>
      <c r="B34" s="1" t="s">
        <v>62</v>
      </c>
      <c r="C34" s="40" t="n">
        <v>-50706</v>
      </c>
      <c r="D34" s="40" t="n">
        <v>-170735</v>
      </c>
      <c r="E34" s="40" t="n">
        <v>57773</v>
      </c>
      <c r="F34" s="1"/>
    </row>
    <row r="35" customFormat="false" ht="15" hidden="false" customHeight="false" outlineLevel="0" collapsed="false">
      <c r="A35" s="1" t="s">
        <v>309</v>
      </c>
      <c r="B35" s="1" t="s">
        <v>62</v>
      </c>
      <c r="C35" s="40" t="n">
        <v>-50706</v>
      </c>
      <c r="D35" s="40" t="n">
        <v>-170735</v>
      </c>
      <c r="E35" s="40" t="n">
        <v>188830</v>
      </c>
      <c r="F35" s="1"/>
    </row>
    <row r="36" customFormat="false" ht="15" hidden="false" customHeight="false" outlineLevel="0" collapsed="false">
      <c r="A36" s="1" t="s">
        <v>365</v>
      </c>
      <c r="B36" s="1" t="s">
        <v>59</v>
      </c>
      <c r="C36" s="46" t="n">
        <v>8</v>
      </c>
      <c r="D36" s="46" t="n">
        <v>20</v>
      </c>
      <c r="E36" s="46" t="n">
        <v>4</v>
      </c>
      <c r="F36" s="1"/>
    </row>
    <row r="37" customFormat="false" ht="15" hidden="false" customHeight="false" outlineLevel="0" collapsed="false">
      <c r="A37" s="1" t="s">
        <v>366</v>
      </c>
      <c r="B37" s="1" t="s">
        <v>59</v>
      </c>
      <c r="C37" s="46" t="n">
        <v>20</v>
      </c>
      <c r="D37" s="53" t="s">
        <v>364</v>
      </c>
      <c r="E37" s="46" t="n">
        <v>12</v>
      </c>
      <c r="F37" s="1"/>
    </row>
    <row r="38" customFormat="false" ht="15" hidden="false" customHeight="false" outlineLevel="0" collapsed="false">
      <c r="A38" s="1" t="s">
        <v>367</v>
      </c>
      <c r="B38" s="1" t="s">
        <v>59</v>
      </c>
      <c r="C38" s="53" t="s">
        <v>364</v>
      </c>
      <c r="D38" s="53" t="s">
        <v>364</v>
      </c>
      <c r="E38" s="46" t="n">
        <v>24</v>
      </c>
      <c r="F38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80"/>
  </cols>
  <sheetData>
    <row r="1" customFormat="false" ht="15" hidden="false" customHeight="false" outlineLevel="0" collapsed="false">
      <c r="A1" s="2" t="s">
        <v>368</v>
      </c>
      <c r="B1" s="1"/>
      <c r="C1" s="1"/>
      <c r="D1" s="1"/>
      <c r="E1" s="1"/>
    </row>
    <row r="2" customFormat="false" ht="15" hidden="false" customHeight="false" outlineLevel="0" collapsed="false">
      <c r="A2" s="13" t="s">
        <v>369</v>
      </c>
      <c r="B2" s="1"/>
      <c r="C2" s="1"/>
      <c r="D2" s="1"/>
      <c r="E2" s="1"/>
    </row>
    <row r="3" customFormat="false" ht="15" hidden="false" customHeight="false" outlineLevel="0" collapsed="false">
      <c r="A3" s="1"/>
      <c r="B3" s="1"/>
      <c r="C3" s="1"/>
      <c r="D3" s="1"/>
      <c r="E3" s="1"/>
    </row>
    <row r="4" customFormat="false" ht="15" hidden="false" customHeight="false" outlineLevel="0" collapsed="false">
      <c r="A4" s="1" t="s">
        <v>10</v>
      </c>
      <c r="B4" s="6" t="n">
        <f aca="false">in_Round</f>
        <v>150000</v>
      </c>
      <c r="C4" s="1"/>
      <c r="D4" s="1"/>
      <c r="E4" s="1"/>
    </row>
    <row r="5" customFormat="false" ht="15" hidden="false" customHeight="false" outlineLevel="0" collapsed="false">
      <c r="A5" s="1" t="s">
        <v>370</v>
      </c>
      <c r="B5" s="9" t="n">
        <f aca="false">in_RunwayZeroRev</f>
        <v>16</v>
      </c>
      <c r="C5" s="1"/>
      <c r="D5" s="1"/>
      <c r="E5" s="1"/>
    </row>
    <row r="6" customFormat="false" ht="15" hidden="false" customHeight="false" outlineLevel="0" collapsed="false">
      <c r="A6" s="1" t="s">
        <v>371</v>
      </c>
      <c r="B6" s="42" t="n">
        <f aca="false">INDEX(Revenue!$C$4:$AL$4,1,B5)</f>
        <v>46844</v>
      </c>
      <c r="C6" s="1"/>
      <c r="D6" s="1"/>
      <c r="E6" s="1"/>
    </row>
    <row r="7" customFormat="false" ht="15" hidden="false" customHeight="false" outlineLevel="0" collapsed="false">
      <c r="A7" s="1"/>
      <c r="B7" s="1"/>
      <c r="C7" s="1"/>
      <c r="D7" s="1"/>
      <c r="E7" s="1"/>
    </row>
    <row r="8" customFormat="false" ht="15" hidden="false" customHeight="false" outlineLevel="0" collapsed="false">
      <c r="A8" s="14" t="s">
        <v>372</v>
      </c>
      <c r="B8" s="14" t="s">
        <v>373</v>
      </c>
      <c r="C8" s="14" t="s">
        <v>374</v>
      </c>
      <c r="D8" s="14" t="s">
        <v>72</v>
      </c>
      <c r="E8" s="14" t="s">
        <v>375</v>
      </c>
    </row>
    <row r="9" customFormat="false" ht="15" hidden="false" customHeight="false" outlineLevel="0" collapsed="false">
      <c r="A9" s="1" t="s">
        <v>376</v>
      </c>
      <c r="B9" s="40" t="n">
        <f aca="false">SUMPRODUCT((Revenue!$C$3:$AL$3&lt;=$B$5)*Costs!$C$8:$AL$8)+SUMPRODUCT((Revenue!$C$3:$AL$3&lt;=$B$5)*Costs!$C$9:$AL$9)+SUMPRODUCT((Revenue!$C$3:$AL$3&lt;=$B$5)*Costs!$C$12:$AL$12)</f>
        <v>33129</v>
      </c>
      <c r="C9" s="40" t="n">
        <f aca="false">IF($B$16&gt;0,B9/$B$16*$B$4,0)</f>
        <v>35344.6771160335</v>
      </c>
      <c r="D9" s="26" t="n">
        <f aca="false">IF($B$4&gt;0,C9/$B$4,0)</f>
        <v>0.235631180773557</v>
      </c>
      <c r="E9" s="13" t="s">
        <v>377</v>
      </c>
    </row>
    <row r="10" customFormat="false" ht="15" hidden="false" customHeight="false" outlineLevel="0" collapsed="false">
      <c r="A10" s="1" t="s">
        <v>378</v>
      </c>
      <c r="B10" s="40" t="n">
        <f aca="false">SUMPRODUCT((Revenue!$C$3:$AL$3&lt;=$B$5)*Costs!$C$10:$AL$10)+SUMPRODUCT((Revenue!$C$3:$AL$3&lt;=$B$5)*Costs!$C$22:$AL$22)+SUMPRODUCT((Revenue!$C$3:$AL$3&lt;=$B$5)*Costs!$C$23:$AL$23)</f>
        <v>24509.832</v>
      </c>
      <c r="C10" s="40" t="n">
        <f aca="false">IF($B$16&gt;0,B10/$B$16*$B$4,0)</f>
        <v>26149.0566635946</v>
      </c>
      <c r="D10" s="26" t="n">
        <f aca="false">IF($B$4&gt;0,C10/$B$4,0)</f>
        <v>0.174327044423964</v>
      </c>
      <c r="E10" s="13" t="s">
        <v>379</v>
      </c>
    </row>
    <row r="11" customFormat="false" ht="15" hidden="false" customHeight="false" outlineLevel="0" collapsed="false">
      <c r="A11" s="1" t="s">
        <v>380</v>
      </c>
      <c r="B11" s="40" t="n">
        <f aca="false">SUMPRODUCT((Revenue!$C$3:$AL$3&lt;=$B$5)*Costs!$C$11:$AL$11)</f>
        <v>7300.65</v>
      </c>
      <c r="C11" s="40" t="n">
        <f aca="false">IF($B$16&gt;0,B11/$B$16*$B$4,0)</f>
        <v>7788.91958668145</v>
      </c>
      <c r="D11" s="26" t="n">
        <f aca="false">IF($B$4&gt;0,C11/$B$4,0)</f>
        <v>0.0519261305778764</v>
      </c>
      <c r="E11" s="13" t="s">
        <v>381</v>
      </c>
    </row>
    <row r="12" customFormat="false" ht="15" hidden="false" customHeight="false" outlineLevel="0" collapsed="false">
      <c r="A12" s="1" t="s">
        <v>382</v>
      </c>
      <c r="B12" s="40" t="n">
        <f aca="false">SUMPRODUCT((Revenue!$C$3:$AL$3&lt;=$B$5)*Costs!$C$21:$AL$21)</f>
        <v>28000</v>
      </c>
      <c r="C12" s="40" t="n">
        <f aca="false">IF($B$16&gt;0,B12/$B$16*$B$4,0)</f>
        <v>29872.6481103848</v>
      </c>
      <c r="D12" s="26" t="n">
        <f aca="false">IF($B$4&gt;0,C12/$B$4,0)</f>
        <v>0.199150987402565</v>
      </c>
      <c r="E12" s="13" t="s">
        <v>383</v>
      </c>
    </row>
    <row r="13" customFormat="false" ht="15" hidden="false" customHeight="false" outlineLevel="0" collapsed="false">
      <c r="A13" s="1" t="s">
        <v>384</v>
      </c>
      <c r="B13" s="40" t="n">
        <f aca="false">SUMPRODUCT((Revenue!$C$3:$AL$3&lt;=$B$5)*Costs!$C$27:$AL$27)+SUMPRODUCT((Revenue!$C$3:$AL$3&lt;=$B$5)*Costs!$C$28:$AL$28)+SUMPRODUCT((Revenue!$C$3:$AL$3&lt;=$B$5)*Costs!$C$29:$AL$29)+SUMPRODUCT((Revenue!$C$3:$AL$3&lt;=$B$5)*Costs!$C$30:$AL$30)+SUMPRODUCT((Revenue!$C$3:$AL$3&lt;=$B$5)*Costs!$C$25:$AL$25)</f>
        <v>23600</v>
      </c>
      <c r="C13" s="40" t="n">
        <f aca="false">IF($B$16&gt;0,B13/$B$16*$B$4,0)</f>
        <v>25178.3748358958</v>
      </c>
      <c r="D13" s="26" t="n">
        <f aca="false">IF($B$4&gt;0,C13/$B$4,0)</f>
        <v>0.167855832239305</v>
      </c>
      <c r="E13" s="13" t="s">
        <v>385</v>
      </c>
    </row>
    <row r="14" customFormat="false" ht="15" hidden="false" customHeight="false" outlineLevel="0" collapsed="false">
      <c r="A14" s="1" t="s">
        <v>386</v>
      </c>
      <c r="B14" s="40" t="n">
        <f aca="false">SUMPRODUCT((Revenue!$C$3:$AL$3&lt;=$B$5)*Costs!$C$17:$AL$17)+SUMPRODUCT((Revenue!$C$3:$AL$3&lt;=$B$5)*Costs!$C$18:$AL$18)+SUMPRODUCT((Revenue!$C$3:$AL$3&lt;=$B$5)*Costs!$C$19:$AL$19)+SUMPRODUCT((Revenue!$C$3:$AL$3&lt;=$B$5)*Costs!$C$20:$AL$20)</f>
        <v>10962.2727161967</v>
      </c>
      <c r="C14" s="40" t="n">
        <f aca="false">IF($B$16&gt;0,B14/$B$16*$B$4,0)</f>
        <v>11695.4326907506</v>
      </c>
      <c r="D14" s="26" t="n">
        <f aca="false">IF($B$4&gt;0,C14/$B$4,0)</f>
        <v>0.0779695512716704</v>
      </c>
      <c r="E14" s="13" t="s">
        <v>387</v>
      </c>
    </row>
    <row r="15" customFormat="false" ht="15" hidden="false" customHeight="false" outlineLevel="0" collapsed="false">
      <c r="A15" s="1" t="s">
        <v>388</v>
      </c>
      <c r="B15" s="40" t="n">
        <f aca="false">SUMPRODUCT((Revenue!$C$3:$AL$3&lt;=$B$5)*Costs!$C$24:$AL$24)+SUMPRODUCT((Revenue!$C$3:$AL$3&lt;=$B$5)*Costs!$C$26:$AL$26)+SUMPRODUCT((Revenue!$C$3:$AL$3&lt;=$B$5)*Costs!$C$32:$AL$32)</f>
        <v>13095.0877358098</v>
      </c>
      <c r="C15" s="40" t="n">
        <f aca="false">IF($B$16&gt;0,B15/$B$16*$B$4,0)</f>
        <v>13970.8909966594</v>
      </c>
      <c r="D15" s="26" t="n">
        <f aca="false">IF($B$4&gt;0,C15/$B$4,0)</f>
        <v>0.0931392733110625</v>
      </c>
      <c r="E15" s="13" t="s">
        <v>389</v>
      </c>
    </row>
    <row r="16" customFormat="false" ht="15" hidden="false" customHeight="false" outlineLevel="0" collapsed="false">
      <c r="A16" s="3" t="s">
        <v>390</v>
      </c>
      <c r="B16" s="54" t="n">
        <f aca="false">SUM(B9:B15)</f>
        <v>140596.842452007</v>
      </c>
      <c r="C16" s="54" t="n">
        <f aca="false">SUM(C9:C15)</f>
        <v>150000</v>
      </c>
      <c r="D16" s="55" t="n">
        <f aca="false">SUM(D9:D15)</f>
        <v>1</v>
      </c>
      <c r="E16" s="1"/>
    </row>
    <row r="17" customFormat="false" ht="15" hidden="false" customHeight="false" outlineLevel="0" collapsed="false">
      <c r="A17" s="1"/>
      <c r="B17" s="1"/>
      <c r="C17" s="1"/>
      <c r="D17" s="1"/>
      <c r="E17" s="1"/>
    </row>
    <row r="18" customFormat="false" ht="15" hidden="false" customHeight="false" outlineLevel="0" collapsed="false">
      <c r="A18" s="15" t="s">
        <v>391</v>
      </c>
      <c r="B18" s="16"/>
      <c r="C18" s="16"/>
      <c r="D18" s="16"/>
      <c r="E18" s="16"/>
    </row>
    <row r="19" customFormat="false" ht="15" hidden="false" customHeight="false" outlineLevel="0" collapsed="false">
      <c r="A19" s="14" t="s">
        <v>392</v>
      </c>
      <c r="B19" s="14" t="s">
        <v>62</v>
      </c>
      <c r="C19" s="14" t="s">
        <v>393</v>
      </c>
      <c r="D19" s="14" t="s">
        <v>15</v>
      </c>
      <c r="E19" s="14" t="s">
        <v>394</v>
      </c>
    </row>
    <row r="20" customFormat="false" ht="15" hidden="false" customHeight="false" outlineLevel="0" collapsed="false">
      <c r="A20" s="1" t="s">
        <v>395</v>
      </c>
      <c r="B20" s="6" t="n">
        <f aca="false">in_VVTicket</f>
        <v>135000</v>
      </c>
      <c r="C20" s="49" t="n">
        <f aca="false">COUNTIF('P&amp;L &amp; Cash'!$C$24:$AL$24,"&lt;="&amp;(B20+in_OpeningCash))</f>
        <v>15</v>
      </c>
      <c r="D20" s="49" t="n">
        <f aca="false">IF(COUNTIF('P&amp;L &amp; Cash'!$C$30:$AL$30,"&gt;="&amp;-(B20+in_OpeningCash))&gt;=36,"&gt; 36",COUNTIF('P&amp;L &amp; Cash'!$C$30:$AL$30,"&gt;="&amp;-(B20+in_OpeningCash)))</f>
        <v>20</v>
      </c>
      <c r="E20" s="26" t="n">
        <f aca="false">B20/(in_PreMoney+B20)</f>
        <v>0.0974729241877256</v>
      </c>
    </row>
    <row r="21" customFormat="false" ht="15" hidden="false" customHeight="false" outlineLevel="0" collapsed="false">
      <c r="A21" s="3" t="s">
        <v>396</v>
      </c>
      <c r="B21" s="6" t="n">
        <f aca="false">in_Round</f>
        <v>150000</v>
      </c>
      <c r="C21" s="49" t="n">
        <f aca="false">COUNTIF('P&amp;L &amp; Cash'!$C$24:$AL$24,"&lt;="&amp;(B21+in_OpeningCash))</f>
        <v>16</v>
      </c>
      <c r="D21" s="49" t="n">
        <f aca="false">IF(COUNTIF('P&amp;L &amp; Cash'!$C$30:$AL$30,"&gt;="&amp;-(B21+in_OpeningCash))&gt;=36,"&gt; 36",COUNTIF('P&amp;L &amp; Cash'!$C$30:$AL$30,"&gt;="&amp;-(B21+in_OpeningCash)))</f>
        <v>24</v>
      </c>
      <c r="E21" s="26" t="n">
        <f aca="false">B21/(in_PreMoney+B21)</f>
        <v>0.107142857142857</v>
      </c>
    </row>
    <row r="22" customFormat="false" ht="15" hidden="false" customHeight="false" outlineLevel="0" collapsed="false">
      <c r="A22" s="1" t="s">
        <v>397</v>
      </c>
      <c r="B22" s="6" t="n">
        <f aca="false">200000*(1+in_MinPrivatePct)</f>
        <v>220000</v>
      </c>
      <c r="C22" s="49" t="n">
        <f aca="false">COUNTIF('P&amp;L &amp; Cash'!$C$24:$AL$24,"&lt;="&amp;(B22+in_OpeningCash))</f>
        <v>24</v>
      </c>
      <c r="D22" s="49" t="str">
        <f aca="false">IF(COUNTIF('P&amp;L &amp; Cash'!$C$30:$AL$30,"&gt;="&amp;-(B22+in_OpeningCash))&gt;=36,"&gt; 36",COUNTIF('P&amp;L &amp; Cash'!$C$30:$AL$30,"&gt;="&amp;-(B22+in_OpeningCash)))</f>
        <v>&gt; 36</v>
      </c>
      <c r="E22" s="26" t="n">
        <f aca="false">B22/(in_PreMoney+B22)</f>
        <v>0.149659863945578</v>
      </c>
    </row>
    <row r="23" customFormat="false" ht="15" hidden="false" customHeight="false" outlineLevel="0" collapsed="false">
      <c r="A23" s="1" t="s">
        <v>398</v>
      </c>
      <c r="B23" s="20" t="n">
        <v>250000</v>
      </c>
      <c r="C23" s="49" t="n">
        <f aca="false">COUNTIF('P&amp;L &amp; Cash'!$C$24:$AL$24,"&lt;="&amp;(B23+in_OpeningCash))</f>
        <v>26</v>
      </c>
      <c r="D23" s="49" t="str">
        <f aca="false">IF(COUNTIF('P&amp;L &amp; Cash'!$C$30:$AL$30,"&gt;="&amp;-(B23+in_OpeningCash))&gt;=36,"&gt; 36",COUNTIF('P&amp;L &amp; Cash'!$C$30:$AL$30,"&gt;="&amp;-(B23+in_OpeningCash)))</f>
        <v>&gt; 36</v>
      </c>
      <c r="E23" s="26" t="n">
        <f aca="false">B23/(in_PreMoney+B23)</f>
        <v>0.166666666666667</v>
      </c>
    </row>
    <row r="24" customFormat="false" ht="15" hidden="false" customHeight="false" outlineLevel="0" collapsed="false">
      <c r="A24" s="1" t="s">
        <v>399</v>
      </c>
      <c r="B24" s="20" t="n">
        <v>300000</v>
      </c>
      <c r="C24" s="49" t="n">
        <f aca="false">COUNTIF('P&amp;L &amp; Cash'!$C$24:$AL$24,"&lt;="&amp;(B24+in_OpeningCash))</f>
        <v>29</v>
      </c>
      <c r="D24" s="49" t="str">
        <f aca="false">IF(COUNTIF('P&amp;L &amp; Cash'!$C$30:$AL$30,"&gt;="&amp;-(B24+in_OpeningCash))&gt;=36,"&gt; 36",COUNTIF('P&amp;L &amp; Cash'!$C$30:$AL$30,"&gt;="&amp;-(B24+in_OpeningCash)))</f>
        <v>&gt; 36</v>
      </c>
      <c r="E24" s="26" t="n">
        <f aca="false">B24/(in_PreMoney+B24)</f>
        <v>0.193548387096774</v>
      </c>
    </row>
    <row r="25" customFormat="false" ht="15" hidden="false" customHeight="false" outlineLevel="0" collapsed="false">
      <c r="A25" s="13" t="s">
        <v>400</v>
      </c>
      <c r="B25" s="1"/>
      <c r="C25" s="1"/>
      <c r="D25" s="1"/>
      <c r="E25" s="1"/>
    </row>
    <row r="26" customFormat="false" ht="15" hidden="false" customHeight="false" outlineLevel="0" collapsed="false">
      <c r="A26" s="1"/>
      <c r="B26" s="1"/>
      <c r="C26" s="1"/>
      <c r="D26" s="1"/>
      <c r="E26" s="1"/>
    </row>
    <row r="27" customFormat="false" ht="15" hidden="false" customHeight="false" outlineLevel="0" collapsed="false">
      <c r="A27" s="15" t="s">
        <v>401</v>
      </c>
      <c r="B27" s="16"/>
      <c r="C27" s="16"/>
      <c r="D27" s="16"/>
      <c r="E27" s="16"/>
    </row>
    <row r="28" customFormat="false" ht="15" hidden="false" customHeight="false" outlineLevel="0" collapsed="false">
      <c r="A28" s="1" t="str">
        <f aca="false">"Round: €"&amp;TEXT(in_Round,"#,##0")&amp;" = Vest Ventures accelerator ticket €"&amp;TEXT(in_VVTicket,"#,##0")&amp;" + independent angels €"&amp;TEXT(in_Angels,"#,##0")&amp;"."</f>
        <v>Round: €150,000 = Vest Ventures accelerator ticket €135,000 + independent angels €15,000.</v>
      </c>
      <c r="B28" s="1"/>
      <c r="C28" s="1"/>
      <c r="D28" s="1"/>
      <c r="E28" s="1"/>
    </row>
    <row r="29" customFormat="false" ht="15" hidden="false" customHeight="false" outlineLevel="0" collapsed="false">
      <c r="A29" s="1" t="str">
        <f aca="false">"Zero-revenue runway: "&amp;in_RunwayZeroRev&amp;" months (option A, VV + minimum 10% match = €"&amp;TEXT(in_OptionA,"#,##0")&amp;": "&amp;in_RunwayZeroRevA&amp;" months)."</f>
        <v>Zero-revenue runway: 16 months (option A, VV + minimum 10% match = €148,500: 16 months).</v>
      </c>
      <c r="B29" s="1"/>
      <c r="C29" s="1"/>
      <c r="D29" s="1"/>
      <c r="E29" s="1"/>
    </row>
    <row r="30" customFormat="false" ht="15" hidden="false" customHeight="false" outlineLevel="0" collapsed="false">
      <c r="A30" s="1" t="str">
        <f aca="false">IF(in_CashLow&lt;0,"On the selected scenario cash lasts "&amp;in_RunwayPlan&amp;" months on plan without further funding; the seed round is raised from the 100-paying-customer milestone (model month "&amp;in_M100&amp;").","On the selected scenario cash never falls below €"&amp;TEXT(in_CashLow,"#,##0")&amp;"; break-even in model month "&amp;in_Breakeven&amp;".")</f>
        <v>On the selected scenario cash lasts 24 months on plan without further funding; the seed round is raised from the 100-paying-customer milestone (model month 20).</v>
      </c>
      <c r="B30" s="1"/>
      <c r="C30" s="1"/>
      <c r="D30" s="1"/>
      <c r="E30" s="1"/>
    </row>
    <row r="31" customFormat="false" ht="15" hidden="false" customHeight="false" outlineLevel="0" collapsed="false">
      <c r="A31" s="1" t="str">
        <f aca="false">"Next milestone (seed readiness) inside the runway: 100 paying firms by model month "&amp;in_M100&amp;", payroll validated, REGES-Online in daily use, accountant channel repeatable."</f>
        <v>Next milestone (seed readiness) inside the runway: 100 paying firms by model month 20, payroll validated, REGES-Online in daily use, accountant channel repeatable.</v>
      </c>
      <c r="B31" s="1"/>
      <c r="C31" s="1"/>
      <c r="D31" s="1"/>
      <c r="E31" s="1"/>
    </row>
    <row r="32" customFormat="false" ht="15" hidden="false" customHeight="false" outlineLevel="0" collapsed="false">
      <c r="A32" s="1" t="str">
        <f aca="false">"Why this size: the round funds the path to the seed trigger (100 paying firms, model month "&amp;in_M100&amp;") with "&amp;in_RunwayPlan&amp;" months of runway on plan and "&amp;TEXT(in_InvPct,"0.0%")&amp;" dilution, on a lean cost plan: co-founders at €"&amp;TEXT(in_SalFounder,"#,##0")&amp;" gross, partner manager at "&amp;TEXT(in_SalesFTE,"0%")&amp;" until model month "&amp;in_SalesFullStart&amp;" (partner signings scaled to match), support specialist at "&amp;TEXT(in_SupportFTE,"0%")&amp;" from model month "&amp;in_SupportStart&amp;", developer after the seed (model month "&amp;in_DevStart&amp;")."</f>
        <v>Why this size: the round funds the path to the seed trigger (100 paying firms, model month 20) with 24 months of runway on plan and 10.7% dilution, on a lean cost plan: co-founders at €1,000 gross, partner manager at 50% until model month 13 (partner signings scaled to match), support specialist at 50% from model month 7, developer after the seed (model month 25).</v>
      </c>
      <c r="B32" s="1"/>
      <c r="C32" s="1"/>
      <c r="D32" s="1"/>
      <c r="E32" s="1"/>
    </row>
    <row r="33" customFormat="false" ht="15" hidden="false" customHeight="false" outlineLevel="0" collapsed="false">
      <c r="A33" s="1" t="str">
        <f aca="false">"Larger rounds (table above) buy runway, e.g. €"&amp;TEXT(B22,"#,##0")&amp;" (VV maximum ticket + minimum match): "&amp;C22&amp;" months with zero revenue, "&amp;D22&amp;" on plan - but need a larger VV ticket and more private money, and no angel is identified yet."</f>
        <v>Larger rounds (table above) buy runway, e.g. €220,000 (VV maximum ticket + minimum match): 24 months with zero revenue, &gt; 36 on plan - but need a larger VV ticket and more private money, and no angel is identified yet.</v>
      </c>
      <c r="B33" s="1"/>
      <c r="C33" s="1"/>
      <c r="D33" s="1"/>
      <c r="E3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15" hidden="false" customHeight="false" outlineLevel="0" collapsed="false">
      <c r="A1" s="2" t="s">
        <v>402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3" t="s">
        <v>403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15" hidden="false" customHeight="false" outlineLevel="0" collapsed="false">
      <c r="A4" s="1" t="s">
        <v>404</v>
      </c>
      <c r="B4" s="6" t="n">
        <f aca="false">in_PreMoney</f>
        <v>1250000</v>
      </c>
      <c r="C4" s="1"/>
      <c r="D4" s="1"/>
      <c r="E4" s="1"/>
      <c r="F4" s="1"/>
    </row>
    <row r="5" customFormat="false" ht="15" hidden="false" customHeight="false" outlineLevel="0" collapsed="false">
      <c r="A5" s="1" t="s">
        <v>10</v>
      </c>
      <c r="B5" s="6" t="n">
        <f aca="false">in_Round</f>
        <v>150000</v>
      </c>
      <c r="C5" s="1"/>
      <c r="D5" s="1"/>
      <c r="E5" s="1"/>
      <c r="F5" s="1"/>
    </row>
    <row r="6" customFormat="false" ht="15" hidden="false" customHeight="false" outlineLevel="0" collapsed="false">
      <c r="A6" s="1" t="s">
        <v>405</v>
      </c>
      <c r="B6" s="40" t="n">
        <f aca="false">B4+B5</f>
        <v>1400000</v>
      </c>
      <c r="C6" s="1"/>
      <c r="D6" s="1"/>
      <c r="E6" s="1"/>
      <c r="F6" s="1"/>
    </row>
    <row r="7" customFormat="false" ht="15" hidden="false" customHeight="false" outlineLevel="0" collapsed="false">
      <c r="A7" s="1" t="s">
        <v>12</v>
      </c>
      <c r="B7" s="26" t="n">
        <f aca="false">B5/B6</f>
        <v>0.107142857142857</v>
      </c>
      <c r="C7" s="1"/>
      <c r="D7" s="1"/>
      <c r="E7" s="1"/>
      <c r="F7" s="1"/>
    </row>
    <row r="8" customFormat="false" ht="15" hidden="false" customHeight="false" outlineLevel="0" collapsed="false">
      <c r="A8" s="1" t="s">
        <v>406</v>
      </c>
      <c r="B8" s="7" t="n">
        <f aca="false">in_ESOP</f>
        <v>0.1</v>
      </c>
      <c r="C8" s="1"/>
      <c r="D8" s="1"/>
      <c r="E8" s="1"/>
      <c r="F8" s="1"/>
    </row>
    <row r="9" customFormat="false" ht="15" hidden="false" customHeight="false" outlineLevel="0" collapsed="false">
      <c r="A9" s="1" t="s">
        <v>407</v>
      </c>
      <c r="B9" s="19" t="n">
        <v>10000</v>
      </c>
      <c r="C9" s="1"/>
      <c r="D9" s="1"/>
      <c r="E9" s="1"/>
      <c r="F9" s="1"/>
    </row>
    <row r="10" customFormat="false" ht="15" hidden="false" customHeight="false" outlineLevel="0" collapsed="false">
      <c r="A10" s="1" t="s">
        <v>408</v>
      </c>
      <c r="B10" s="46" t="n">
        <f aca="false">B9/(1-B7-B8)</f>
        <v>12612.6126126126</v>
      </c>
      <c r="C10" s="1"/>
      <c r="D10" s="1"/>
      <c r="E10" s="1"/>
      <c r="F10" s="1"/>
    </row>
    <row r="11" customFormat="false" ht="15" hidden="false" customHeight="false" outlineLevel="0" collapsed="false">
      <c r="A11" s="1" t="s">
        <v>409</v>
      </c>
      <c r="B11" s="38" t="n">
        <f aca="false">B4/(B9+B8*B10)</f>
        <v>111</v>
      </c>
      <c r="C11" s="1"/>
      <c r="D11" s="1"/>
      <c r="E11" s="1"/>
      <c r="F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</row>
    <row r="13" customFormat="false" ht="15" hidden="false" customHeight="false" outlineLevel="0" collapsed="false">
      <c r="A13" s="14" t="s">
        <v>410</v>
      </c>
      <c r="B13" s="14" t="s">
        <v>411</v>
      </c>
      <c r="C13" s="14" t="s">
        <v>412</v>
      </c>
      <c r="D13" s="14" t="s">
        <v>413</v>
      </c>
      <c r="E13" s="14" t="s">
        <v>414</v>
      </c>
      <c r="F13" s="14" t="s">
        <v>415</v>
      </c>
    </row>
    <row r="14" customFormat="false" ht="15" hidden="false" customHeight="false" outlineLevel="0" collapsed="false">
      <c r="A14" s="1" t="s">
        <v>416</v>
      </c>
      <c r="B14" s="19" t="n">
        <f aca="false">0.51*$B$9</f>
        <v>5100</v>
      </c>
      <c r="C14" s="26" t="n">
        <f aca="false">B14/$B$19</f>
        <v>0.51</v>
      </c>
      <c r="D14" s="46" t="n">
        <f aca="false">B14</f>
        <v>5100</v>
      </c>
      <c r="E14" s="26" t="n">
        <f aca="false">D14/$D$19</f>
        <v>0.404357142857143</v>
      </c>
      <c r="F14" s="40" t="n">
        <v>0</v>
      </c>
    </row>
    <row r="15" customFormat="false" ht="15" hidden="false" customHeight="false" outlineLevel="0" collapsed="false">
      <c r="A15" s="1" t="s">
        <v>417</v>
      </c>
      <c r="B15" s="19" t="n">
        <f aca="false">0.49*$B$9</f>
        <v>4900</v>
      </c>
      <c r="C15" s="26" t="n">
        <f aca="false">B15/$B$19</f>
        <v>0.49</v>
      </c>
      <c r="D15" s="46" t="n">
        <f aca="false">B15</f>
        <v>4900</v>
      </c>
      <c r="E15" s="26" t="n">
        <f aca="false">D15/$D$19</f>
        <v>0.3885</v>
      </c>
      <c r="F15" s="40" t="n">
        <v>0</v>
      </c>
    </row>
    <row r="16" customFormat="false" ht="15" hidden="false" customHeight="false" outlineLevel="0" collapsed="false">
      <c r="A16" s="1" t="s">
        <v>418</v>
      </c>
      <c r="B16" s="46" t="n">
        <v>0</v>
      </c>
      <c r="C16" s="26" t="n">
        <f aca="false">B16/$B$19</f>
        <v>0</v>
      </c>
      <c r="D16" s="46" t="n">
        <f aca="false">$B$8*$B$10</f>
        <v>1261.26126126126</v>
      </c>
      <c r="E16" s="26" t="n">
        <f aca="false">D16/$D$19</f>
        <v>0.1</v>
      </c>
      <c r="F16" s="40" t="n">
        <v>0</v>
      </c>
    </row>
    <row r="17" customFormat="false" ht="15" hidden="false" customHeight="false" outlineLevel="0" collapsed="false">
      <c r="A17" s="1" t="s">
        <v>419</v>
      </c>
      <c r="B17" s="46" t="n">
        <v>0</v>
      </c>
      <c r="C17" s="26" t="n">
        <f aca="false">B17/$B$19</f>
        <v>0</v>
      </c>
      <c r="D17" s="46" t="n">
        <f aca="false">in_VVTicket/$B$11</f>
        <v>1216.21621621622</v>
      </c>
      <c r="E17" s="26" t="n">
        <f aca="false">D17/$D$19</f>
        <v>0.0964285714285714</v>
      </c>
      <c r="F17" s="40" t="n">
        <f aca="false">in_VVTicket</f>
        <v>135000</v>
      </c>
    </row>
    <row r="18" customFormat="false" ht="15" hidden="false" customHeight="false" outlineLevel="0" collapsed="false">
      <c r="A18" s="1" t="s">
        <v>420</v>
      </c>
      <c r="B18" s="46" t="n">
        <v>0</v>
      </c>
      <c r="C18" s="26" t="n">
        <f aca="false">B18/$B$19</f>
        <v>0</v>
      </c>
      <c r="D18" s="46" t="n">
        <f aca="false">in_Angels/$B$11</f>
        <v>135.135135135135</v>
      </c>
      <c r="E18" s="26" t="n">
        <f aca="false">D18/$D$19</f>
        <v>0.0107142857142857</v>
      </c>
      <c r="F18" s="40" t="n">
        <f aca="false">in_Angels</f>
        <v>15000</v>
      </c>
    </row>
    <row r="19" customFormat="false" ht="15" hidden="false" customHeight="false" outlineLevel="0" collapsed="false">
      <c r="A19" s="3" t="s">
        <v>390</v>
      </c>
      <c r="B19" s="56" t="n">
        <f aca="false">SUM(B14:B18)</f>
        <v>10000</v>
      </c>
      <c r="C19" s="55" t="n">
        <f aca="false">SUM(C14:C18)</f>
        <v>1</v>
      </c>
      <c r="D19" s="56" t="n">
        <f aca="false">SUM(D14:D18)</f>
        <v>12612.6126126126</v>
      </c>
      <c r="E19" s="55" t="n">
        <f aca="false">SUM(E14:E18)</f>
        <v>1</v>
      </c>
      <c r="F19" s="54" t="n">
        <f aca="false">SUM(F14:F18)</f>
        <v>150000</v>
      </c>
    </row>
    <row r="20" customFormat="false" ht="15" hidden="false" customHeight="false" outlineLevel="0" collapsed="false">
      <c r="A20" s="1" t="s">
        <v>421</v>
      </c>
      <c r="B20" s="1"/>
      <c r="C20" s="1"/>
      <c r="D20" s="40" t="n">
        <f aca="false">D19*B11</f>
        <v>1400000</v>
      </c>
      <c r="E20" s="1"/>
      <c r="F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</row>
    <row r="22" customFormat="false" ht="15" hidden="false" customHeight="false" outlineLevel="0" collapsed="false">
      <c r="A22" s="13" t="s">
        <v>422</v>
      </c>
      <c r="B22" s="1"/>
      <c r="C22" s="1"/>
      <c r="D22" s="1"/>
      <c r="E22" s="1"/>
      <c r="F22" s="1"/>
    </row>
    <row r="23" customFormat="false" ht="15" hidden="false" customHeight="false" outlineLevel="0" collapsed="false">
      <c r="A23" s="13" t="s">
        <v>423</v>
      </c>
      <c r="B23" s="1"/>
      <c r="C23" s="1"/>
      <c r="D23" s="1"/>
      <c r="E23" s="1"/>
      <c r="F23" s="1"/>
    </row>
    <row r="24" customFormat="false" ht="15" hidden="false" customHeight="false" outlineLevel="0" collapsed="false">
      <c r="A24" s="13" t="s">
        <v>424</v>
      </c>
      <c r="B24" s="1"/>
      <c r="C24" s="1"/>
      <c r="D24" s="1"/>
      <c r="E24" s="1"/>
      <c r="F24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2" t="s">
        <v>425</v>
      </c>
      <c r="B1" s="1"/>
    </row>
    <row r="2" customFormat="false" ht="15" hidden="false" customHeight="false" outlineLevel="0" collapsed="false">
      <c r="A2" s="1"/>
      <c r="B2" s="1"/>
    </row>
    <row r="3" customFormat="false" ht="15" hidden="false" customHeight="false" outlineLevel="0" collapsed="false">
      <c r="A3" s="14" t="s">
        <v>426</v>
      </c>
      <c r="B3" s="14" t="s">
        <v>427</v>
      </c>
    </row>
    <row r="4" customFormat="false" ht="15" hidden="false" customHeight="false" outlineLevel="0" collapsed="false">
      <c r="A4" s="1" t="s">
        <v>428</v>
      </c>
      <c r="B4" s="1" t="s">
        <v>429</v>
      </c>
    </row>
    <row r="5" customFormat="false" ht="15" hidden="false" customHeight="false" outlineLevel="0" collapsed="false">
      <c r="A5" s="1" t="s">
        <v>430</v>
      </c>
      <c r="B5" s="1" t="s">
        <v>431</v>
      </c>
    </row>
    <row r="6" customFormat="false" ht="15" hidden="false" customHeight="false" outlineLevel="0" collapsed="false">
      <c r="A6" s="1" t="s">
        <v>432</v>
      </c>
      <c r="B6" s="1" t="s">
        <v>433</v>
      </c>
    </row>
    <row r="7" customFormat="false" ht="15" hidden="false" customHeight="false" outlineLevel="0" collapsed="false">
      <c r="A7" s="1" t="s">
        <v>434</v>
      </c>
      <c r="B7" s="1" t="s">
        <v>435</v>
      </c>
    </row>
    <row r="8" customFormat="false" ht="15" hidden="false" customHeight="false" outlineLevel="0" collapsed="false">
      <c r="A8" s="1" t="s">
        <v>436</v>
      </c>
      <c r="B8" s="1" t="s">
        <v>437</v>
      </c>
    </row>
    <row r="9" customFormat="false" ht="15" hidden="false" customHeight="false" outlineLevel="0" collapsed="false">
      <c r="A9" s="1" t="s">
        <v>438</v>
      </c>
      <c r="B9" s="1" t="s">
        <v>439</v>
      </c>
    </row>
    <row r="10" customFormat="false" ht="15" hidden="false" customHeight="false" outlineLevel="0" collapsed="false">
      <c r="A10" s="1" t="s">
        <v>440</v>
      </c>
      <c r="B10" s="1" t="s">
        <v>441</v>
      </c>
    </row>
    <row r="11" customFormat="false" ht="15" hidden="false" customHeight="false" outlineLevel="0" collapsed="false">
      <c r="A11" s="1" t="s">
        <v>442</v>
      </c>
      <c r="B11" s="1" t="s">
        <v>443</v>
      </c>
    </row>
    <row r="12" customFormat="false" ht="15" hidden="false" customHeight="false" outlineLevel="0" collapsed="false">
      <c r="A12" s="1" t="s">
        <v>444</v>
      </c>
      <c r="B12" s="1" t="s">
        <v>445</v>
      </c>
    </row>
    <row r="13" customFormat="false" ht="15" hidden="false" customHeight="false" outlineLevel="0" collapsed="false">
      <c r="A13" s="1" t="s">
        <v>446</v>
      </c>
      <c r="B13" s="1" t="s">
        <v>447</v>
      </c>
    </row>
    <row r="14" customFormat="false" ht="15" hidden="false" customHeight="false" outlineLevel="0" collapsed="false">
      <c r="A14" s="1" t="s">
        <v>448</v>
      </c>
      <c r="B14" s="1" t="s">
        <v>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2026-10-07T05:12:34Z</dcterms:created>
  <dc:creator>openpyxl</dc:creator>
  <dc:description/>
  <dc:language>en-US</dc:language>
  <cp:lastModifiedBy/>
  <dcterms:modified xsi:type="dcterms:W3CDTF">2026-10-07T05:12:34Z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